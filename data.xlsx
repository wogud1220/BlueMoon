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C:\Users\eun3j\Downloads\"/>
    </mc:Choice>
  </mc:AlternateContent>
  <xr:revisionPtr revIDLastSave="0" documentId="13_ncr:1_{A7D6F876-3FF1-4754-A6BC-342A89813EE3}" xr6:coauthVersionLast="36" xr6:coauthVersionMax="36" xr10:uidLastSave="{00000000-0000-0000-0000-000000000000}"/>
  <bookViews>
    <workbookView xWindow="0" yWindow="0" windowWidth="19200" windowHeight="8050" xr2:uid="{00000000-000D-0000-FFFF-FFFF00000000}"/>
  </bookViews>
  <sheets>
    <sheet name="전체" sheetId="1" r:id="rId1"/>
    <sheet name="시기" sheetId="2" r:id="rId2"/>
    <sheet name="5대범죄 장소" sheetId="3" r:id="rId3"/>
  </sheets>
  <calcPr calcId="191029"/>
</workbook>
</file>

<file path=xl/calcChain.xml><?xml version="1.0" encoding="utf-8"?>
<calcChain xmlns="http://schemas.openxmlformats.org/spreadsheetml/2006/main">
  <c r="Z17" i="2" l="1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<sst xmlns="http://schemas.openxmlformats.org/spreadsheetml/2006/main" count="175" uniqueCount="140">
  <si>
    <t>22년도</t>
  </si>
  <si>
    <t>살인(발생)</t>
  </si>
  <si>
    <t>살인(검거)</t>
  </si>
  <si>
    <t>강도(발생)</t>
  </si>
  <si>
    <t>강도(검거)</t>
  </si>
  <si>
    <t>강간·강제추행(발생)</t>
  </si>
  <si>
    <t>강간·강제추행(검거)</t>
  </si>
  <si>
    <t>절도(발생)</t>
  </si>
  <si>
    <t>절도(검거)</t>
  </si>
  <si>
    <t>폭력(발생)</t>
  </si>
  <si>
    <t>폭력(검거)</t>
  </si>
  <si>
    <t>인구 [명]</t>
  </si>
  <si>
    <t>면적 [㎢]</t>
  </si>
  <si>
    <t>인구밀도 [명/㎢]</t>
  </si>
  <si>
    <t>남자(한국인) [명]</t>
  </si>
  <si>
    <t>여자(한국인) [명]</t>
  </si>
  <si>
    <t>남자(외국인) [명]</t>
  </si>
  <si>
    <t>여자(외국인) [명]</t>
  </si>
  <si>
    <t>서대당 인구 [명]</t>
  </si>
  <si>
    <t>65세이상고령자 [명]</t>
  </si>
  <si>
    <t>한국인 합계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</si>
  <si>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</si>
  <si>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</si>
  <si>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</si>
  <si>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</si>
  <si>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</si>
  <si>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</si>
  <si>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</si>
  <si>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</si>
  <si>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</si>
  <si>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</si>
  <si>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</si>
  <si>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</si>
  <si>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</si>
  <si>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</si>
  <si>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</si>
  <si>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</si>
  <si>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</si>
  <si>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</si>
  <si>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</si>
  <si>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95~99세</t>
  </si>
  <si>
    <t>100세 이상</t>
  </si>
  <si>
    <t>등록 외국인 합계</t>
  </si>
  <si>
    <t>cctv 범죄예방 수사용) [대]</t>
  </si>
  <si>
    <t>안심이 cctv 수</t>
  </si>
  <si>
    <t>여성안심지키미집</t>
  </si>
  <si>
    <t>안전비상벨</t>
  </si>
  <si>
    <t>고정식</t>
  </si>
  <si>
    <t>도심공원</t>
  </si>
  <si>
    <t>미세먼지</t>
  </si>
  <si>
    <t>방범</t>
  </si>
  <si>
    <t>불법주정차</t>
  </si>
  <si>
    <t>산불감시</t>
  </si>
  <si>
    <t>시설물 관리</t>
  </si>
  <si>
    <t>쓰레기 무단투기</t>
  </si>
  <si>
    <t>어린이안전</t>
  </si>
  <si>
    <t>자전거보관소</t>
  </si>
  <si>
    <t>치수방재</t>
  </si>
  <si>
    <t>회전식</t>
  </si>
  <si>
    <t>(비어 있음)</t>
  </si>
  <si>
    <t xml:space="preserve">보안등 </t>
  </si>
  <si>
    <t>가로등</t>
  </si>
  <si>
    <t>안심벨 (안심귀갓길)</t>
  </si>
  <si>
    <t>CCTV (안심귀갓길)</t>
  </si>
  <si>
    <t>안내표지판 (전주 표기 포함) (안심귀갓길)</t>
  </si>
  <si>
    <t>노면표기 (안심귀갓길)</t>
  </si>
  <si>
    <t>보안등 (안심귀갓길)</t>
  </si>
  <si>
    <t>안심귀갓길 서비스 안내판 (안심귀갓길)</t>
  </si>
  <si>
    <t>112 위치 신고 안내 (안심귀갓길)</t>
  </si>
  <si>
    <t>기타 (안심반사경 등) (안심귀갓길)</t>
  </si>
  <si>
    <t xml:space="preserve"> 안심귀가 스카우트 이용수</t>
  </si>
  <si>
    <t>안심쉬가 스카우트 인원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</si>
  <si>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</si>
  <si>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</si>
  <si>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</si>
  <si>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</si>
  <si>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</si>
  <si>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</si>
  <si>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</si>
  <si>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</si>
  <si>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</si>
  <si>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</si>
  <si>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</si>
  <si>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</si>
  <si>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</si>
  <si>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</si>
  <si>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</si>
  <si>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</si>
  <si>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</si>
  <si>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</si>
  <si>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</si>
  <si>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</si>
  <si>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</si>
  <si>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</si>
  <si>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</si>
  <si>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</si>
  <si>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</si>
  <si>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설명서</t>
  </si>
  <si>
    <t>빈 셀 :</t>
  </si>
  <si>
    <t>앞과 동일 내용</t>
  </si>
  <si>
    <t>해석 방법</t>
  </si>
  <si>
    <t>A의 B9셀 의미: 현재 시트 말고 '전체' 시트의 AB9 셀 의미</t>
  </si>
  <si>
    <t>- :</t>
  </si>
  <si>
    <t>내용 추가 필요</t>
  </si>
  <si>
    <t>모름 :</t>
  </si>
  <si>
    <t>직접 조사한게 아니라 모름</t>
  </si>
  <si>
    <t>NULL</t>
  </si>
  <si>
    <t>변수</t>
  </si>
  <si>
    <t>데이터 시기</t>
  </si>
  <si>
    <t>변경 가능 시기</t>
  </si>
  <si>
    <t>년도</t>
  </si>
  <si>
    <t>년,월</t>
  </si>
  <si>
    <t>년,분기</t>
  </si>
  <si>
    <t>A</t>
  </si>
  <si>
    <t>B</t>
  </si>
  <si>
    <t>2022-12-01 수집</t>
  </si>
  <si>
    <t>2023,2024에 수집, 도봉구만 2019에 수집</t>
  </si>
  <si>
    <t>2022.2 최종 점검, 아산 데이터 1개 껴있었음</t>
  </si>
  <si>
    <t>모름</t>
  </si>
  <si>
    <t>불가, 설치나 수집 날짜 고려는 가능</t>
  </si>
  <si>
    <t>C</t>
  </si>
  <si>
    <t>D</t>
  </si>
  <si>
    <t>살인</t>
  </si>
  <si>
    <t>강도</t>
  </si>
  <si>
    <t>강간강제추행</t>
  </si>
  <si>
    <t>절도</t>
  </si>
  <si>
    <t>폭력</t>
  </si>
  <si>
    <t>아파트 연립다세대</t>
  </si>
  <si>
    <t>단독주택</t>
  </si>
  <si>
    <t>노상</t>
  </si>
  <si>
    <t>상점</t>
  </si>
  <si>
    <t>숙박업소 목욕탕</t>
  </si>
  <si>
    <t>유흥접객업소</t>
  </si>
  <si>
    <t>사무실</t>
  </si>
  <si>
    <t>역 대합실</t>
  </si>
  <si>
    <t>교통수단</t>
  </si>
  <si>
    <t>유원지</t>
  </si>
  <si>
    <t>학교</t>
  </si>
  <si>
    <t>금융기관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</si>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</sst>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</fills>
  <borders count="13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1" xfId="0" applyFont="1" applyBorder="1" applyAlignment="1"/>
    <xf numFmtId="0" fontId="1" fillId="2" borderId="0" xfId="0" applyFont="1" applyFill="1" applyAlignment="1"/>
    <xf numFmtId="0" fontId="1" fillId="2" borderId="1" xfId="0" applyFont="1" applyFill="1" applyBorder="1" applyAlignment="1"/>
    <xf numFmtId="0" fontId="1" fillId="3" borderId="0" xfId="0" applyFont="1" applyFill="1" applyAlignment="1"/>
    <xf numFmtId="0" fontId="1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/>
    <xf numFmtId="0" fontId="1" fillId="4" borderId="1" xfId="0" applyFont="1" applyFill="1" applyBorder="1" applyAlignment="1"/>
    <xf numFmtId="0" fontId="1" fillId="0" borderId="0" xfId="0" applyFont="1" applyAlignment="1"/>
    <xf numFmtId="3" fontId="1" fillId="0" borderId="0" xfId="0" applyNumberFormat="1" applyFont="1" applyAlignment="1"/>
    <xf numFmtId="3" fontId="1" fillId="0" borderId="1" xfId="0" applyNumberFormat="1" applyFont="1" applyBorder="1" applyAlignment="1"/>
    <xf numFmtId="3" fontId="1" fillId="0" borderId="2" xfId="0" applyNumberFormat="1" applyFont="1" applyBorder="1" applyAlignment="1"/>
    <xf numFmtId="0" fontId="1" fillId="0" borderId="2" xfId="0" applyFont="1" applyBorder="1" applyAlignment="1"/>
    <xf numFmtId="3" fontId="1" fillId="0" borderId="4" xfId="0" applyNumberFormat="1" applyFont="1" applyBorder="1" applyAlignment="1"/>
    <xf numFmtId="3" fontId="2" fillId="5" borderId="5" xfId="0" applyNumberFormat="1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5" borderId="4" xfId="0" applyNumberFormat="1" applyFont="1" applyFill="1" applyBorder="1" applyAlignment="1">
      <alignment horizontal="right"/>
    </xf>
    <xf numFmtId="3" fontId="1" fillId="0" borderId="3" xfId="0" applyNumberFormat="1" applyFont="1" applyBorder="1" applyAlignment="1"/>
    <xf numFmtId="3" fontId="2" fillId="5" borderId="3" xfId="0" applyNumberFormat="1" applyFont="1" applyFill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6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0" borderId="0" xfId="0" applyFont="1" applyAlignment="1"/>
    <xf numFmtId="0" fontId="2" fillId="7" borderId="0" xfId="0" applyFont="1" applyFill="1" applyAlignment="1"/>
    <xf numFmtId="0" fontId="2" fillId="8" borderId="0" xfId="0" applyFont="1" applyFill="1" applyAlignment="1"/>
    <xf numFmtId="0" fontId="2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O26"/>
  <sheetViews>
    <sheetView tabSelected="1" workbookViewId="0">
      <pane xSplit="1" topLeftCell="B1" activePane="topRight" state="frozen"/>
      <selection pane="topRight" activeCell="F31" sqref="F31"/>
    </sheetView>
  </sheetViews>
  <sheetFormatPr defaultColWidth="12.6328125" defaultRowHeight="15.75" customHeight="1" x14ac:dyDescent="0.25"/>
  <cols>
    <col min="18" max="18" width="14.90625" customWidth="1"/>
    <col min="19" max="19" width="17" customWidth="1"/>
    <col min="20" max="20" width="17.7265625" customWidth="1"/>
    <col min="65" max="65" width="21.36328125" customWidth="1"/>
    <col min="66" max="66" width="15.6328125" customWidth="1"/>
    <col min="67" max="67" width="18.26953125" customWidth="1"/>
    <col min="68" max="68" width="17" customWidth="1"/>
    <col min="69" max="69" width="19" customWidth="1"/>
    <col min="82" max="82" width="8.7265625" customWidth="1"/>
    <col min="86" max="86" width="10.7265625" customWidth="1"/>
    <col min="88" max="88" width="11.6328125" customWidth="1"/>
    <col min="89" max="89" width="18.08984375" customWidth="1"/>
    <col min="90" max="90" width="18.453125" customWidth="1"/>
  </cols>
  <sheetData>
    <row r="1" spans="1:9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6" t="s">
        <v>15</v>
      </c>
      <c r="Q1" s="4" t="s">
        <v>16</v>
      </c>
      <c r="R1" s="6" t="s">
        <v>17</v>
      </c>
      <c r="S1" s="6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6" t="s">
        <v>41</v>
      </c>
      <c r="AQ1" s="4" t="s">
        <v>42</v>
      </c>
      <c r="AR1" s="4" t="s">
        <v>21</v>
      </c>
      <c r="AS1" s="4" t="s">
        <v>22</v>
      </c>
      <c r="AT1" s="4" t="s">
        <v>23</v>
      </c>
      <c r="AU1" s="4" t="s">
        <v>24</v>
      </c>
      <c r="AV1" s="4" t="s">
        <v>25</v>
      </c>
      <c r="AW1" s="4" t="s">
        <v>26</v>
      </c>
      <c r="AX1" s="4" t="s">
        <v>27</v>
      </c>
      <c r="AY1" s="4" t="s">
        <v>28</v>
      </c>
      <c r="AZ1" s="4" t="s">
        <v>29</v>
      </c>
      <c r="BA1" s="4" t="s">
        <v>30</v>
      </c>
      <c r="BB1" s="4" t="s">
        <v>31</v>
      </c>
      <c r="BC1" s="4" t="s">
        <v>32</v>
      </c>
      <c r="BD1" s="4" t="s">
        <v>33</v>
      </c>
      <c r="BE1" s="4" t="s">
        <v>34</v>
      </c>
      <c r="BF1" s="4" t="s">
        <v>35</v>
      </c>
      <c r="BG1" s="4" t="s">
        <v>36</v>
      </c>
      <c r="BH1" s="4" t="s">
        <v>37</v>
      </c>
      <c r="BI1" s="4" t="s">
        <v>38</v>
      </c>
      <c r="BJ1" s="4" t="s">
        <v>39</v>
      </c>
      <c r="BK1" s="4" t="s">
        <v>40</v>
      </c>
      <c r="BL1" s="5" t="s">
        <v>41</v>
      </c>
      <c r="BM1" s="5" t="s">
        <v>43</v>
      </c>
      <c r="BN1" s="4" t="s">
        <v>44</v>
      </c>
      <c r="BO1" s="7" t="s">
        <v>45</v>
      </c>
      <c r="BP1" s="8" t="s">
        <v>46</v>
      </c>
      <c r="BQ1" s="4" t="s">
        <v>47</v>
      </c>
      <c r="BR1" s="4" t="s">
        <v>48</v>
      </c>
      <c r="BS1" s="4" t="s">
        <v>49</v>
      </c>
      <c r="BT1" s="4" t="s">
        <v>50</v>
      </c>
      <c r="BU1" s="4" t="s">
        <v>51</v>
      </c>
      <c r="BV1" s="4" t="s">
        <v>52</v>
      </c>
      <c r="BW1" s="4" t="s">
        <v>53</v>
      </c>
      <c r="BX1" s="4" t="s">
        <v>54</v>
      </c>
      <c r="BY1" s="4" t="s">
        <v>55</v>
      </c>
      <c r="BZ1" s="4" t="s">
        <v>56</v>
      </c>
      <c r="CA1" s="4" t="s">
        <v>57</v>
      </c>
      <c r="CB1" s="4" t="s">
        <v>58</v>
      </c>
      <c r="CC1" s="5" t="s">
        <v>59</v>
      </c>
      <c r="CD1" s="5" t="s">
        <v>60</v>
      </c>
      <c r="CE1" s="5" t="s">
        <v>61</v>
      </c>
      <c r="CF1" s="4" t="s">
        <v>62</v>
      </c>
      <c r="CG1" s="4" t="s">
        <v>63</v>
      </c>
      <c r="CH1" s="4" t="s">
        <v>64</v>
      </c>
      <c r="CI1" s="4" t="s">
        <v>65</v>
      </c>
      <c r="CJ1" s="4" t="s">
        <v>66</v>
      </c>
      <c r="CK1" s="4" t="s">
        <v>67</v>
      </c>
      <c r="CL1" s="4" t="s">
        <v>68</v>
      </c>
      <c r="CM1" s="5" t="s">
        <v>69</v>
      </c>
      <c r="CN1" s="4" t="s">
        <v>70</v>
      </c>
      <c r="CO1" s="5" t="s">
        <v>71</v>
      </c>
    </row>
    <row r="2" spans="1:93" ht="15.75" customHeight="1" x14ac:dyDescent="0.25">
      <c r="A2" s="9" t="s">
        <v>72</v>
      </c>
      <c r="B2" s="10">
        <v>12</v>
      </c>
      <c r="C2" s="10">
        <v>10</v>
      </c>
      <c r="D2" s="10">
        <v>11</v>
      </c>
      <c r="E2" s="10">
        <v>10</v>
      </c>
      <c r="F2" s="10">
        <v>667</v>
      </c>
      <c r="G2" s="10">
        <v>534</v>
      </c>
      <c r="H2" s="10">
        <v>2495</v>
      </c>
      <c r="I2" s="10">
        <v>1207</v>
      </c>
      <c r="J2" s="10">
        <v>3762</v>
      </c>
      <c r="K2" s="1">
        <v>3259</v>
      </c>
      <c r="L2" s="11">
        <v>534103</v>
      </c>
      <c r="M2" s="10">
        <v>39.5</v>
      </c>
      <c r="N2" s="12">
        <v>13522</v>
      </c>
      <c r="O2" s="11">
        <v>253072</v>
      </c>
      <c r="P2" s="13">
        <v>276030</v>
      </c>
      <c r="Q2" s="11">
        <v>2291</v>
      </c>
      <c r="R2" s="13">
        <v>2710</v>
      </c>
      <c r="S2" s="14">
        <v>2.27</v>
      </c>
      <c r="T2" s="12">
        <v>81715</v>
      </c>
      <c r="U2" s="11">
        <v>529102</v>
      </c>
      <c r="V2" s="11">
        <v>11486</v>
      </c>
      <c r="W2" s="11">
        <v>20834</v>
      </c>
      <c r="X2" s="11">
        <v>29958</v>
      </c>
      <c r="Y2" s="11">
        <v>30137</v>
      </c>
      <c r="Z2" s="11">
        <v>29964</v>
      </c>
      <c r="AA2" s="11">
        <v>38028</v>
      </c>
      <c r="AB2" s="11">
        <v>38701</v>
      </c>
      <c r="AC2" s="11">
        <v>36951</v>
      </c>
      <c r="AD2" s="11">
        <v>46946</v>
      </c>
      <c r="AE2" s="11">
        <v>49344</v>
      </c>
      <c r="AF2" s="11">
        <v>48216</v>
      </c>
      <c r="AG2" s="11">
        <v>34873</v>
      </c>
      <c r="AH2" s="11">
        <v>32100</v>
      </c>
      <c r="AI2" s="11">
        <v>29011</v>
      </c>
      <c r="AJ2" s="11">
        <v>21167</v>
      </c>
      <c r="AK2" s="11">
        <v>15305</v>
      </c>
      <c r="AL2" s="11">
        <v>9363</v>
      </c>
      <c r="AM2" s="11">
        <v>4395</v>
      </c>
      <c r="AN2" s="11">
        <v>1776</v>
      </c>
      <c r="AO2" s="10">
        <v>469</v>
      </c>
      <c r="AP2" s="14">
        <v>78</v>
      </c>
      <c r="AQ2" s="11">
        <v>5001</v>
      </c>
      <c r="AR2" s="10">
        <v>55</v>
      </c>
      <c r="AS2" s="10">
        <v>74</v>
      </c>
      <c r="AT2" s="10">
        <v>56</v>
      </c>
      <c r="AU2" s="10">
        <v>138</v>
      </c>
      <c r="AV2" s="10">
        <v>620</v>
      </c>
      <c r="AW2" s="11">
        <v>1007</v>
      </c>
      <c r="AX2" s="10">
        <v>841</v>
      </c>
      <c r="AY2" s="10">
        <v>632</v>
      </c>
      <c r="AZ2" s="10">
        <v>455</v>
      </c>
      <c r="BA2" s="10">
        <v>320</v>
      </c>
      <c r="BB2" s="10">
        <v>290</v>
      </c>
      <c r="BC2" s="10">
        <v>243</v>
      </c>
      <c r="BD2" s="10">
        <v>119</v>
      </c>
      <c r="BE2" s="10">
        <v>83</v>
      </c>
      <c r="BF2" s="10">
        <v>36</v>
      </c>
      <c r="BG2" s="10">
        <v>17</v>
      </c>
      <c r="BH2" s="10">
        <v>7</v>
      </c>
      <c r="BI2" s="10">
        <v>5</v>
      </c>
      <c r="BJ2" s="10">
        <v>2</v>
      </c>
      <c r="BK2" s="10">
        <v>0</v>
      </c>
      <c r="BL2" s="1">
        <v>1</v>
      </c>
      <c r="BM2" s="11">
        <v>6495</v>
      </c>
      <c r="BN2" s="15">
        <v>7009</v>
      </c>
      <c r="BO2" s="16">
        <v>108</v>
      </c>
      <c r="BP2" s="17">
        <v>2</v>
      </c>
      <c r="BQ2" s="18">
        <v>0</v>
      </c>
      <c r="BR2" s="18">
        <v>11</v>
      </c>
      <c r="BS2" s="18">
        <v>0</v>
      </c>
      <c r="BT2" s="18">
        <v>6175</v>
      </c>
      <c r="BU2" s="18">
        <v>580</v>
      </c>
      <c r="BV2" s="18">
        <v>0</v>
      </c>
      <c r="BW2" s="18">
        <v>0</v>
      </c>
      <c r="BX2" s="18">
        <v>0</v>
      </c>
      <c r="BY2" s="18">
        <v>0</v>
      </c>
      <c r="BZ2" s="18">
        <v>0</v>
      </c>
      <c r="CA2" s="18">
        <v>56</v>
      </c>
      <c r="CB2" s="18">
        <v>0</v>
      </c>
      <c r="CC2" s="19">
        <v>0</v>
      </c>
      <c r="CD2" s="19">
        <v>10211</v>
      </c>
      <c r="CE2" s="20">
        <v>14351</v>
      </c>
      <c r="CF2" s="18">
        <v>89</v>
      </c>
      <c r="CG2" s="18">
        <v>186</v>
      </c>
      <c r="CH2" s="18">
        <v>8</v>
      </c>
      <c r="CI2" s="18">
        <v>67</v>
      </c>
      <c r="CJ2" s="18">
        <v>471</v>
      </c>
      <c r="CK2" s="18">
        <v>0</v>
      </c>
      <c r="CL2" s="18">
        <v>111</v>
      </c>
      <c r="CM2" s="19">
        <v>3</v>
      </c>
      <c r="CN2" s="21">
        <v>4943</v>
      </c>
      <c r="CO2" s="19">
        <v>15</v>
      </c>
    </row>
    <row r="3" spans="1:93" ht="15.75" customHeight="1" x14ac:dyDescent="0.25">
      <c r="A3" s="9" t="s">
        <v>73</v>
      </c>
      <c r="B3" s="10">
        <v>5</v>
      </c>
      <c r="C3" s="10">
        <v>6</v>
      </c>
      <c r="D3" s="10">
        <v>5</v>
      </c>
      <c r="E3" s="10">
        <v>5</v>
      </c>
      <c r="F3" s="10">
        <v>157</v>
      </c>
      <c r="G3" s="10">
        <v>134</v>
      </c>
      <c r="H3" s="10">
        <v>1672</v>
      </c>
      <c r="I3" s="10">
        <v>900</v>
      </c>
      <c r="J3" s="10">
        <v>1872</v>
      </c>
      <c r="K3" s="1">
        <v>1599</v>
      </c>
      <c r="L3" s="11">
        <v>464037</v>
      </c>
      <c r="M3" s="10">
        <v>24.59</v>
      </c>
      <c r="N3" s="12">
        <v>18871</v>
      </c>
      <c r="O3" s="11">
        <v>225221</v>
      </c>
      <c r="P3" s="13">
        <v>234846</v>
      </c>
      <c r="Q3" s="11">
        <v>1754</v>
      </c>
      <c r="R3" s="13">
        <v>2216</v>
      </c>
      <c r="S3" s="14">
        <v>2.2799999999999998</v>
      </c>
      <c r="T3" s="12">
        <v>78340</v>
      </c>
      <c r="U3" s="11">
        <v>460067</v>
      </c>
      <c r="V3" s="11">
        <v>13887</v>
      </c>
      <c r="W3" s="11">
        <v>18673</v>
      </c>
      <c r="X3" s="11">
        <v>19984</v>
      </c>
      <c r="Y3" s="11">
        <v>19080</v>
      </c>
      <c r="Z3" s="11">
        <v>24217</v>
      </c>
      <c r="AA3" s="11">
        <v>33769</v>
      </c>
      <c r="AB3" s="11">
        <v>34905</v>
      </c>
      <c r="AC3" s="11">
        <v>34441</v>
      </c>
      <c r="AD3" s="11">
        <v>39385</v>
      </c>
      <c r="AE3" s="11">
        <v>35344</v>
      </c>
      <c r="AF3" s="11">
        <v>37258</v>
      </c>
      <c r="AG3" s="11">
        <v>33562</v>
      </c>
      <c r="AH3" s="11">
        <v>37371</v>
      </c>
      <c r="AI3" s="11">
        <v>30286</v>
      </c>
      <c r="AJ3" s="11">
        <v>20304</v>
      </c>
      <c r="AK3" s="11">
        <v>13360</v>
      </c>
      <c r="AL3" s="11">
        <v>8454</v>
      </c>
      <c r="AM3" s="11">
        <v>3858</v>
      </c>
      <c r="AN3" s="11">
        <v>1517</v>
      </c>
      <c r="AO3" s="10">
        <v>342</v>
      </c>
      <c r="AP3" s="14">
        <v>70</v>
      </c>
      <c r="AQ3" s="11">
        <v>3970</v>
      </c>
      <c r="AR3" s="10">
        <v>91</v>
      </c>
      <c r="AS3" s="10">
        <v>101</v>
      </c>
      <c r="AT3" s="10">
        <v>77</v>
      </c>
      <c r="AU3" s="10">
        <v>75</v>
      </c>
      <c r="AV3" s="10">
        <v>256</v>
      </c>
      <c r="AW3" s="10">
        <v>493</v>
      </c>
      <c r="AX3" s="10">
        <v>524</v>
      </c>
      <c r="AY3" s="10">
        <v>462</v>
      </c>
      <c r="AZ3" s="10">
        <v>353</v>
      </c>
      <c r="BA3" s="10">
        <v>306</v>
      </c>
      <c r="BB3" s="10">
        <v>414</v>
      </c>
      <c r="BC3" s="10">
        <v>440</v>
      </c>
      <c r="BD3" s="10">
        <v>229</v>
      </c>
      <c r="BE3" s="10">
        <v>86</v>
      </c>
      <c r="BF3" s="10">
        <v>42</v>
      </c>
      <c r="BG3" s="10">
        <v>13</v>
      </c>
      <c r="BH3" s="10">
        <v>3</v>
      </c>
      <c r="BI3" s="10">
        <v>2</v>
      </c>
      <c r="BJ3" s="10">
        <v>2</v>
      </c>
      <c r="BK3" s="10">
        <v>0</v>
      </c>
      <c r="BL3" s="1">
        <v>1</v>
      </c>
      <c r="BM3" s="11">
        <v>3086</v>
      </c>
      <c r="BN3" s="15">
        <v>3191</v>
      </c>
      <c r="BO3" s="16">
        <v>43</v>
      </c>
      <c r="BP3" s="17">
        <v>0</v>
      </c>
      <c r="BQ3" s="18">
        <v>0</v>
      </c>
      <c r="BR3" s="18">
        <v>157</v>
      </c>
      <c r="BS3" s="18">
        <v>0</v>
      </c>
      <c r="BT3" s="18">
        <v>2080</v>
      </c>
      <c r="BU3" s="18">
        <v>72</v>
      </c>
      <c r="BV3" s="18">
        <v>0</v>
      </c>
      <c r="BW3" s="18">
        <v>0</v>
      </c>
      <c r="BX3" s="18">
        <v>0</v>
      </c>
      <c r="BY3" s="18">
        <v>232</v>
      </c>
      <c r="BZ3" s="18">
        <v>0</v>
      </c>
      <c r="CA3" s="18">
        <v>0</v>
      </c>
      <c r="CB3" s="18">
        <v>0</v>
      </c>
      <c r="CC3" s="19">
        <v>0</v>
      </c>
      <c r="CD3" s="19">
        <v>7508</v>
      </c>
      <c r="CE3" s="20">
        <v>8126</v>
      </c>
      <c r="CF3" s="18">
        <v>46</v>
      </c>
      <c r="CG3" s="18">
        <v>48</v>
      </c>
      <c r="CH3" s="18">
        <v>0</v>
      </c>
      <c r="CI3" s="18">
        <v>71</v>
      </c>
      <c r="CJ3" s="18">
        <v>276</v>
      </c>
      <c r="CK3" s="18">
        <v>0</v>
      </c>
      <c r="CL3" s="18">
        <v>65</v>
      </c>
      <c r="CM3" s="19">
        <v>0</v>
      </c>
      <c r="CN3" s="21">
        <v>5063</v>
      </c>
      <c r="CO3" s="19">
        <v>13</v>
      </c>
    </row>
    <row r="4" spans="1:93" ht="15.75" customHeight="1" x14ac:dyDescent="0.25">
      <c r="A4" s="9" t="s">
        <v>74</v>
      </c>
      <c r="B4" s="10">
        <v>5</v>
      </c>
      <c r="C4" s="10">
        <v>4</v>
      </c>
      <c r="D4" s="10">
        <v>5</v>
      </c>
      <c r="E4" s="10">
        <v>6</v>
      </c>
      <c r="F4" s="10">
        <v>177</v>
      </c>
      <c r="G4" s="10">
        <v>147</v>
      </c>
      <c r="H4" s="10">
        <v>872</v>
      </c>
      <c r="I4" s="10">
        <v>589</v>
      </c>
      <c r="J4" s="10">
        <v>1773</v>
      </c>
      <c r="K4" s="1">
        <v>1597</v>
      </c>
      <c r="L4" s="11">
        <v>297702</v>
      </c>
      <c r="M4" s="10">
        <v>23.6</v>
      </c>
      <c r="N4" s="12">
        <v>12614</v>
      </c>
      <c r="O4" s="11">
        <v>142567</v>
      </c>
      <c r="P4" s="13">
        <v>151093</v>
      </c>
      <c r="Q4" s="11">
        <v>1470</v>
      </c>
      <c r="R4" s="13">
        <v>2572</v>
      </c>
      <c r="S4" s="14">
        <v>2.0299999999999998</v>
      </c>
      <c r="T4" s="12">
        <v>66307</v>
      </c>
      <c r="U4" s="11">
        <v>293660</v>
      </c>
      <c r="V4" s="11">
        <v>5071</v>
      </c>
      <c r="W4" s="11">
        <v>7715</v>
      </c>
      <c r="X4" s="11">
        <v>9337</v>
      </c>
      <c r="Y4" s="11">
        <v>10693</v>
      </c>
      <c r="Z4" s="11">
        <v>17730</v>
      </c>
      <c r="AA4" s="11">
        <v>22119</v>
      </c>
      <c r="AB4" s="11">
        <v>18991</v>
      </c>
      <c r="AC4" s="11">
        <v>16930</v>
      </c>
      <c r="AD4" s="11">
        <v>20318</v>
      </c>
      <c r="AE4" s="11">
        <v>21795</v>
      </c>
      <c r="AF4" s="11">
        <v>26601</v>
      </c>
      <c r="AG4" s="11">
        <v>24190</v>
      </c>
      <c r="AH4" s="11">
        <v>26000</v>
      </c>
      <c r="AI4" s="11">
        <v>21379</v>
      </c>
      <c r="AJ4" s="11">
        <v>16301</v>
      </c>
      <c r="AK4" s="11">
        <v>13058</v>
      </c>
      <c r="AL4" s="11">
        <v>9805</v>
      </c>
      <c r="AM4" s="11">
        <v>4108</v>
      </c>
      <c r="AN4" s="11">
        <v>1208</v>
      </c>
      <c r="AO4" s="10">
        <v>269</v>
      </c>
      <c r="AP4" s="14">
        <v>42</v>
      </c>
      <c r="AQ4" s="11">
        <v>4042</v>
      </c>
      <c r="AR4" s="10">
        <v>85</v>
      </c>
      <c r="AS4" s="10">
        <v>67</v>
      </c>
      <c r="AT4" s="10">
        <v>39</v>
      </c>
      <c r="AU4" s="10">
        <v>204</v>
      </c>
      <c r="AV4" s="10">
        <v>904</v>
      </c>
      <c r="AW4" s="10">
        <v>638</v>
      </c>
      <c r="AX4" s="10">
        <v>456</v>
      </c>
      <c r="AY4" s="10">
        <v>363</v>
      </c>
      <c r="AZ4" s="10">
        <v>278</v>
      </c>
      <c r="BA4" s="10">
        <v>210</v>
      </c>
      <c r="BB4" s="10">
        <v>227</v>
      </c>
      <c r="BC4" s="10">
        <v>270</v>
      </c>
      <c r="BD4" s="10">
        <v>164</v>
      </c>
      <c r="BE4" s="10">
        <v>67</v>
      </c>
      <c r="BF4" s="10">
        <v>39</v>
      </c>
      <c r="BG4" s="10">
        <v>17</v>
      </c>
      <c r="BH4" s="10">
        <v>4</v>
      </c>
      <c r="BI4" s="10">
        <v>4</v>
      </c>
      <c r="BJ4" s="10">
        <v>3</v>
      </c>
      <c r="BK4" s="10">
        <v>1</v>
      </c>
      <c r="BL4" s="1">
        <v>2</v>
      </c>
      <c r="BM4" s="11">
        <v>3184</v>
      </c>
      <c r="BN4" s="15">
        <v>2858</v>
      </c>
      <c r="BO4" s="16">
        <v>25</v>
      </c>
      <c r="BP4" s="17">
        <v>1</v>
      </c>
      <c r="BQ4" s="18">
        <v>1</v>
      </c>
      <c r="BR4" s="18">
        <v>190</v>
      </c>
      <c r="BS4" s="18">
        <v>0</v>
      </c>
      <c r="BT4" s="18">
        <v>2134</v>
      </c>
      <c r="BU4" s="18">
        <v>93</v>
      </c>
      <c r="BV4" s="18">
        <v>0</v>
      </c>
      <c r="BW4" s="18">
        <v>0</v>
      </c>
      <c r="BX4" s="18">
        <v>0</v>
      </c>
      <c r="BY4" s="18">
        <v>342</v>
      </c>
      <c r="BZ4" s="18">
        <v>0</v>
      </c>
      <c r="CA4" s="18">
        <v>0</v>
      </c>
      <c r="CB4" s="18">
        <v>0</v>
      </c>
      <c r="CC4" s="19">
        <v>3</v>
      </c>
      <c r="CD4" s="19">
        <v>9777</v>
      </c>
      <c r="CE4" s="20">
        <v>4308</v>
      </c>
      <c r="CF4" s="18">
        <v>78</v>
      </c>
      <c r="CG4" s="18">
        <v>198</v>
      </c>
      <c r="CH4" s="18">
        <v>78</v>
      </c>
      <c r="CI4" s="18">
        <v>154</v>
      </c>
      <c r="CJ4" s="18">
        <v>421</v>
      </c>
      <c r="CK4" s="18">
        <v>1</v>
      </c>
      <c r="CL4" s="18">
        <v>201</v>
      </c>
      <c r="CM4" s="19">
        <v>5</v>
      </c>
      <c r="CN4" s="21">
        <v>3764</v>
      </c>
      <c r="CO4" s="19">
        <v>17</v>
      </c>
    </row>
    <row r="5" spans="1:93" ht="15.75" customHeight="1" x14ac:dyDescent="0.25">
      <c r="A5" s="9" t="s">
        <v>75</v>
      </c>
      <c r="B5" s="10">
        <v>3</v>
      </c>
      <c r="C5" s="10">
        <v>3</v>
      </c>
      <c r="D5" s="10">
        <v>7</v>
      </c>
      <c r="E5" s="10">
        <v>7</v>
      </c>
      <c r="F5" s="10">
        <v>261</v>
      </c>
      <c r="G5" s="10">
        <v>195</v>
      </c>
      <c r="H5" s="10">
        <v>1991</v>
      </c>
      <c r="I5" s="10">
        <v>1185</v>
      </c>
      <c r="J5" s="10">
        <v>2401</v>
      </c>
      <c r="K5" s="1">
        <v>2201</v>
      </c>
      <c r="L5" s="11">
        <v>574638</v>
      </c>
      <c r="M5" s="10">
        <v>41.45</v>
      </c>
      <c r="N5" s="12">
        <v>13862</v>
      </c>
      <c r="O5" s="11">
        <v>273203</v>
      </c>
      <c r="P5" s="13">
        <v>295963</v>
      </c>
      <c r="Q5" s="11">
        <v>2382</v>
      </c>
      <c r="R5" s="13">
        <v>3090</v>
      </c>
      <c r="S5" s="14">
        <v>2.08</v>
      </c>
      <c r="T5" s="12">
        <v>97128</v>
      </c>
      <c r="U5" s="11">
        <v>569166</v>
      </c>
      <c r="V5" s="11">
        <v>14350</v>
      </c>
      <c r="W5" s="11">
        <v>19273</v>
      </c>
      <c r="X5" s="11">
        <v>21121</v>
      </c>
      <c r="Y5" s="11">
        <v>21922</v>
      </c>
      <c r="Z5" s="11">
        <v>30812</v>
      </c>
      <c r="AA5" s="11">
        <v>51892</v>
      </c>
      <c r="AB5" s="11">
        <v>53354</v>
      </c>
      <c r="AC5" s="11">
        <v>44263</v>
      </c>
      <c r="AD5" s="11">
        <v>45899</v>
      </c>
      <c r="AE5" s="11">
        <v>42230</v>
      </c>
      <c r="AF5" s="11">
        <v>44128</v>
      </c>
      <c r="AG5" s="11">
        <v>39004</v>
      </c>
      <c r="AH5" s="11">
        <v>44038</v>
      </c>
      <c r="AI5" s="11">
        <v>35863</v>
      </c>
      <c r="AJ5" s="11">
        <v>24532</v>
      </c>
      <c r="AK5" s="11">
        <v>16856</v>
      </c>
      <c r="AL5" s="11">
        <v>11446</v>
      </c>
      <c r="AM5" s="11">
        <v>5537</v>
      </c>
      <c r="AN5" s="11">
        <v>2068</v>
      </c>
      <c r="AO5" s="10">
        <v>501</v>
      </c>
      <c r="AP5" s="14">
        <v>77</v>
      </c>
      <c r="AQ5" s="11">
        <v>5472</v>
      </c>
      <c r="AR5" s="10">
        <v>159</v>
      </c>
      <c r="AS5" s="10">
        <v>129</v>
      </c>
      <c r="AT5" s="10">
        <v>75</v>
      </c>
      <c r="AU5" s="10">
        <v>88</v>
      </c>
      <c r="AV5" s="10">
        <v>282</v>
      </c>
      <c r="AW5" s="10">
        <v>629</v>
      </c>
      <c r="AX5" s="10">
        <v>793</v>
      </c>
      <c r="AY5" s="10">
        <v>733</v>
      </c>
      <c r="AZ5" s="10">
        <v>539</v>
      </c>
      <c r="BA5" s="10">
        <v>396</v>
      </c>
      <c r="BB5" s="10">
        <v>513</v>
      </c>
      <c r="BC5" s="10">
        <v>565</v>
      </c>
      <c r="BD5" s="10">
        <v>323</v>
      </c>
      <c r="BE5" s="10">
        <v>137</v>
      </c>
      <c r="BF5" s="10">
        <v>68</v>
      </c>
      <c r="BG5" s="10">
        <v>21</v>
      </c>
      <c r="BH5" s="10">
        <v>12</v>
      </c>
      <c r="BI5" s="10">
        <v>7</v>
      </c>
      <c r="BJ5" s="10">
        <v>2</v>
      </c>
      <c r="BK5" s="10">
        <v>1</v>
      </c>
      <c r="BL5" s="1">
        <v>0</v>
      </c>
      <c r="BM5" s="11">
        <v>3151</v>
      </c>
      <c r="BN5" s="15">
        <v>3481</v>
      </c>
      <c r="BO5" s="16">
        <v>32</v>
      </c>
      <c r="BP5" s="17">
        <v>1</v>
      </c>
      <c r="BQ5" s="18">
        <v>0</v>
      </c>
      <c r="BR5" s="18">
        <v>127</v>
      </c>
      <c r="BS5" s="18">
        <v>0</v>
      </c>
      <c r="BT5" s="18">
        <v>1983</v>
      </c>
      <c r="BU5" s="18">
        <v>84</v>
      </c>
      <c r="BV5" s="18">
        <v>0</v>
      </c>
      <c r="BW5" s="18">
        <v>0</v>
      </c>
      <c r="BX5" s="18">
        <v>28</v>
      </c>
      <c r="BY5" s="18">
        <v>215</v>
      </c>
      <c r="BZ5" s="18">
        <v>0</v>
      </c>
      <c r="CA5" s="18">
        <v>0</v>
      </c>
      <c r="CB5" s="18">
        <v>0</v>
      </c>
      <c r="CC5" s="19">
        <v>0</v>
      </c>
      <c r="CD5" s="19">
        <v>8639</v>
      </c>
      <c r="CE5" s="20">
        <v>9994</v>
      </c>
      <c r="CF5" s="18">
        <v>34</v>
      </c>
      <c r="CG5" s="18">
        <v>43</v>
      </c>
      <c r="CH5" s="18">
        <v>8</v>
      </c>
      <c r="CI5" s="18">
        <v>65</v>
      </c>
      <c r="CJ5" s="18">
        <v>177</v>
      </c>
      <c r="CK5" s="18">
        <v>0</v>
      </c>
      <c r="CL5" s="18">
        <v>57</v>
      </c>
      <c r="CM5" s="19">
        <v>0</v>
      </c>
      <c r="CN5" s="21">
        <v>2647</v>
      </c>
      <c r="CO5" s="19">
        <v>14</v>
      </c>
    </row>
    <row r="6" spans="1:93" ht="15.75" customHeight="1" x14ac:dyDescent="0.25">
      <c r="A6" s="9" t="s">
        <v>76</v>
      </c>
      <c r="B6" s="10">
        <v>10</v>
      </c>
      <c r="C6" s="10">
        <v>8</v>
      </c>
      <c r="D6" s="10">
        <v>9</v>
      </c>
      <c r="E6" s="10">
        <v>8</v>
      </c>
      <c r="F6" s="10">
        <v>327</v>
      </c>
      <c r="G6" s="10">
        <v>279</v>
      </c>
      <c r="H6" s="10">
        <v>1966</v>
      </c>
      <c r="I6" s="10">
        <v>1050</v>
      </c>
      <c r="J6" s="10">
        <v>2567</v>
      </c>
      <c r="K6" s="1">
        <v>2066</v>
      </c>
      <c r="L6" s="11">
        <v>501226</v>
      </c>
      <c r="M6" s="10">
        <v>29.57</v>
      </c>
      <c r="N6" s="12">
        <v>16951</v>
      </c>
      <c r="O6" s="11">
        <v>244748</v>
      </c>
      <c r="P6" s="13">
        <v>242004</v>
      </c>
      <c r="Q6" s="11">
        <v>5939</v>
      </c>
      <c r="R6" s="13">
        <v>8535</v>
      </c>
      <c r="S6" s="14">
        <v>1.72</v>
      </c>
      <c r="T6" s="12">
        <v>82447</v>
      </c>
      <c r="U6" s="11">
        <v>486752</v>
      </c>
      <c r="V6" s="11">
        <v>7766</v>
      </c>
      <c r="W6" s="11">
        <v>10398</v>
      </c>
      <c r="X6" s="11">
        <v>11799</v>
      </c>
      <c r="Y6" s="11">
        <v>14529</v>
      </c>
      <c r="Z6" s="11">
        <v>37548</v>
      </c>
      <c r="AA6" s="11">
        <v>72767</v>
      </c>
      <c r="AB6" s="11">
        <v>53282</v>
      </c>
      <c r="AC6" s="11">
        <v>33964</v>
      </c>
      <c r="AD6" s="11">
        <v>32759</v>
      </c>
      <c r="AE6" s="11">
        <v>31007</v>
      </c>
      <c r="AF6" s="11">
        <v>35052</v>
      </c>
      <c r="AG6" s="11">
        <v>31013</v>
      </c>
      <c r="AH6" s="11">
        <v>33020</v>
      </c>
      <c r="AI6" s="11">
        <v>27038</v>
      </c>
      <c r="AJ6" s="11">
        <v>21154</v>
      </c>
      <c r="AK6" s="11">
        <v>15953</v>
      </c>
      <c r="AL6" s="11">
        <v>11437</v>
      </c>
      <c r="AM6" s="11">
        <v>4520</v>
      </c>
      <c r="AN6" s="11">
        <v>1394</v>
      </c>
      <c r="AO6" s="10">
        <v>299</v>
      </c>
      <c r="AP6" s="14">
        <v>53</v>
      </c>
      <c r="AQ6" s="11">
        <v>14474</v>
      </c>
      <c r="AR6" s="10">
        <v>279</v>
      </c>
      <c r="AS6" s="10">
        <v>263</v>
      </c>
      <c r="AT6" s="10">
        <v>135</v>
      </c>
      <c r="AU6" s="10">
        <v>370</v>
      </c>
      <c r="AV6" s="11">
        <v>2246</v>
      </c>
      <c r="AW6" s="11">
        <v>2469</v>
      </c>
      <c r="AX6" s="11">
        <v>1678</v>
      </c>
      <c r="AY6" s="11">
        <v>1207</v>
      </c>
      <c r="AZ6" s="10">
        <v>861</v>
      </c>
      <c r="BA6" s="10">
        <v>772</v>
      </c>
      <c r="BB6" s="11">
        <v>1195</v>
      </c>
      <c r="BC6" s="11">
        <v>1556</v>
      </c>
      <c r="BD6" s="10">
        <v>844</v>
      </c>
      <c r="BE6" s="10">
        <v>386</v>
      </c>
      <c r="BF6" s="10">
        <v>132</v>
      </c>
      <c r="BG6" s="10">
        <v>36</v>
      </c>
      <c r="BH6" s="10">
        <v>18</v>
      </c>
      <c r="BI6" s="10">
        <v>16</v>
      </c>
      <c r="BJ6" s="10">
        <v>8</v>
      </c>
      <c r="BK6" s="10">
        <v>3</v>
      </c>
      <c r="BL6" s="1">
        <v>0</v>
      </c>
      <c r="BM6" s="11">
        <v>4029</v>
      </c>
      <c r="BN6" s="15">
        <v>5366</v>
      </c>
      <c r="BO6" s="16">
        <v>51</v>
      </c>
      <c r="BP6" s="17">
        <v>1</v>
      </c>
      <c r="BQ6" s="18">
        <v>0</v>
      </c>
      <c r="BR6" s="18">
        <v>0</v>
      </c>
      <c r="BS6" s="18">
        <v>0</v>
      </c>
      <c r="BT6" s="18">
        <v>4641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9">
        <v>0</v>
      </c>
      <c r="CD6" s="19">
        <v>12401</v>
      </c>
      <c r="CE6" s="20">
        <v>5789</v>
      </c>
      <c r="CF6" s="18">
        <v>49</v>
      </c>
      <c r="CG6" s="18">
        <v>159</v>
      </c>
      <c r="CH6" s="18">
        <v>4</v>
      </c>
      <c r="CI6" s="18">
        <v>72</v>
      </c>
      <c r="CJ6" s="18">
        <v>328</v>
      </c>
      <c r="CK6" s="18">
        <v>1</v>
      </c>
      <c r="CL6" s="18">
        <v>98</v>
      </c>
      <c r="CM6" s="19">
        <v>5</v>
      </c>
      <c r="CN6" s="21">
        <v>7858</v>
      </c>
      <c r="CO6" s="19">
        <v>21</v>
      </c>
    </row>
    <row r="7" spans="1:93" ht="15.75" customHeight="1" x14ac:dyDescent="0.25">
      <c r="A7" s="9" t="s">
        <v>77</v>
      </c>
      <c r="B7" s="10">
        <v>6</v>
      </c>
      <c r="C7" s="10">
        <v>5</v>
      </c>
      <c r="D7" s="10">
        <v>0</v>
      </c>
      <c r="E7" s="10">
        <v>0</v>
      </c>
      <c r="F7" s="10">
        <v>230</v>
      </c>
      <c r="G7" s="10">
        <v>174</v>
      </c>
      <c r="H7" s="10">
        <v>1670</v>
      </c>
      <c r="I7" s="10">
        <v>831</v>
      </c>
      <c r="J7" s="10">
        <v>1713</v>
      </c>
      <c r="K7" s="1">
        <v>1488</v>
      </c>
      <c r="L7" s="11">
        <v>351252</v>
      </c>
      <c r="M7" s="10">
        <v>17.059999999999999</v>
      </c>
      <c r="N7" s="12">
        <v>20586</v>
      </c>
      <c r="O7" s="11">
        <v>162541</v>
      </c>
      <c r="P7" s="13">
        <v>174875</v>
      </c>
      <c r="Q7" s="11">
        <v>5656</v>
      </c>
      <c r="R7" s="13">
        <v>8180</v>
      </c>
      <c r="S7" s="14">
        <v>1.99</v>
      </c>
      <c r="T7" s="12">
        <v>54071</v>
      </c>
      <c r="U7" s="11">
        <v>337416</v>
      </c>
      <c r="V7" s="11">
        <v>6764</v>
      </c>
      <c r="W7" s="11">
        <v>9683</v>
      </c>
      <c r="X7" s="11">
        <v>11511</v>
      </c>
      <c r="Y7" s="11">
        <v>12958</v>
      </c>
      <c r="Z7" s="11">
        <v>23990</v>
      </c>
      <c r="AA7" s="11">
        <v>36230</v>
      </c>
      <c r="AB7" s="11">
        <v>30691</v>
      </c>
      <c r="AC7" s="11">
        <v>24010</v>
      </c>
      <c r="AD7" s="11">
        <v>24775</v>
      </c>
      <c r="AE7" s="11">
        <v>24463</v>
      </c>
      <c r="AF7" s="11">
        <v>28156</v>
      </c>
      <c r="AG7" s="11">
        <v>25108</v>
      </c>
      <c r="AH7" s="11">
        <v>25340</v>
      </c>
      <c r="AI7" s="11">
        <v>19351</v>
      </c>
      <c r="AJ7" s="11">
        <v>13004</v>
      </c>
      <c r="AK7" s="11">
        <v>9714</v>
      </c>
      <c r="AL7" s="11">
        <v>7111</v>
      </c>
      <c r="AM7" s="11">
        <v>3214</v>
      </c>
      <c r="AN7" s="11">
        <v>1049</v>
      </c>
      <c r="AO7" s="10">
        <v>252</v>
      </c>
      <c r="AP7" s="14">
        <v>42</v>
      </c>
      <c r="AQ7" s="11">
        <v>13836</v>
      </c>
      <c r="AR7" s="10">
        <v>288</v>
      </c>
      <c r="AS7" s="10">
        <v>309</v>
      </c>
      <c r="AT7" s="10">
        <v>206</v>
      </c>
      <c r="AU7" s="10">
        <v>695</v>
      </c>
      <c r="AV7" s="11">
        <v>3773</v>
      </c>
      <c r="AW7" s="11">
        <v>2377</v>
      </c>
      <c r="AX7" s="11">
        <v>1281</v>
      </c>
      <c r="AY7" s="10">
        <v>920</v>
      </c>
      <c r="AZ7" s="10">
        <v>668</v>
      </c>
      <c r="BA7" s="10">
        <v>568</v>
      </c>
      <c r="BB7" s="10">
        <v>831</v>
      </c>
      <c r="BC7" s="11">
        <v>1050</v>
      </c>
      <c r="BD7" s="10">
        <v>536</v>
      </c>
      <c r="BE7" s="10">
        <v>214</v>
      </c>
      <c r="BF7" s="10">
        <v>82</v>
      </c>
      <c r="BG7" s="10">
        <v>11</v>
      </c>
      <c r="BH7" s="10">
        <v>14</v>
      </c>
      <c r="BI7" s="10">
        <v>9</v>
      </c>
      <c r="BJ7" s="10">
        <v>2</v>
      </c>
      <c r="BK7" s="10">
        <v>0</v>
      </c>
      <c r="BL7" s="1">
        <v>2</v>
      </c>
      <c r="BM7" s="11">
        <v>3370</v>
      </c>
      <c r="BN7" s="15">
        <v>4091</v>
      </c>
      <c r="BO7" s="16">
        <v>15</v>
      </c>
      <c r="BP7" s="17">
        <v>1</v>
      </c>
      <c r="BQ7" s="18">
        <v>0</v>
      </c>
      <c r="BR7" s="18">
        <v>152</v>
      </c>
      <c r="BS7" s="18">
        <v>0</v>
      </c>
      <c r="BT7" s="18">
        <v>2225</v>
      </c>
      <c r="BU7" s="18">
        <v>70</v>
      </c>
      <c r="BV7" s="18">
        <v>4</v>
      </c>
      <c r="BW7" s="18">
        <v>172</v>
      </c>
      <c r="BX7" s="18">
        <v>70</v>
      </c>
      <c r="BY7" s="18">
        <v>448</v>
      </c>
      <c r="BZ7" s="18">
        <v>0</v>
      </c>
      <c r="CA7" s="18">
        <v>5</v>
      </c>
      <c r="CB7" s="18">
        <v>0</v>
      </c>
      <c r="CC7" s="19">
        <v>0</v>
      </c>
      <c r="CD7" s="19">
        <v>8971</v>
      </c>
      <c r="CE7" s="20">
        <v>4944</v>
      </c>
      <c r="CF7" s="18">
        <v>30</v>
      </c>
      <c r="CG7" s="18">
        <v>95</v>
      </c>
      <c r="CH7" s="18">
        <v>6</v>
      </c>
      <c r="CI7" s="18">
        <v>13</v>
      </c>
      <c r="CJ7" s="18">
        <v>167</v>
      </c>
      <c r="CK7" s="18">
        <v>0</v>
      </c>
      <c r="CL7" s="18">
        <v>30</v>
      </c>
      <c r="CM7" s="19">
        <v>0</v>
      </c>
      <c r="CN7" s="21">
        <v>5141</v>
      </c>
      <c r="CO7" s="19">
        <v>10</v>
      </c>
    </row>
    <row r="8" spans="1:93" ht="15.75" customHeight="1" x14ac:dyDescent="0.25">
      <c r="A8" s="9" t="s">
        <v>78</v>
      </c>
      <c r="B8" s="10">
        <v>11</v>
      </c>
      <c r="C8" s="10">
        <v>11</v>
      </c>
      <c r="D8" s="10">
        <v>8</v>
      </c>
      <c r="E8" s="10">
        <v>9</v>
      </c>
      <c r="F8" s="10">
        <v>217</v>
      </c>
      <c r="G8" s="10">
        <v>145</v>
      </c>
      <c r="H8" s="10">
        <v>1565</v>
      </c>
      <c r="I8" s="10">
        <v>841</v>
      </c>
      <c r="J8" s="10">
        <v>2056</v>
      </c>
      <c r="K8" s="1">
        <v>1726</v>
      </c>
      <c r="L8" s="11">
        <v>418418</v>
      </c>
      <c r="M8" s="10">
        <v>20.12</v>
      </c>
      <c r="N8" s="12">
        <v>20794</v>
      </c>
      <c r="O8" s="11">
        <v>194274</v>
      </c>
      <c r="P8" s="13">
        <v>201041</v>
      </c>
      <c r="Q8" s="11">
        <v>12358</v>
      </c>
      <c r="R8" s="13">
        <v>10745</v>
      </c>
      <c r="S8" s="14">
        <v>2.15</v>
      </c>
      <c r="T8" s="12">
        <v>75890</v>
      </c>
      <c r="U8" s="11">
        <v>395315</v>
      </c>
      <c r="V8" s="11">
        <v>10971</v>
      </c>
      <c r="W8" s="11">
        <v>13384</v>
      </c>
      <c r="X8" s="11">
        <v>14237</v>
      </c>
      <c r="Y8" s="11">
        <v>14400</v>
      </c>
      <c r="Z8" s="11">
        <v>21254</v>
      </c>
      <c r="AA8" s="11">
        <v>31577</v>
      </c>
      <c r="AB8" s="11">
        <v>32507</v>
      </c>
      <c r="AC8" s="11">
        <v>29058</v>
      </c>
      <c r="AD8" s="11">
        <v>30833</v>
      </c>
      <c r="AE8" s="11">
        <v>29311</v>
      </c>
      <c r="AF8" s="11">
        <v>32214</v>
      </c>
      <c r="AG8" s="11">
        <v>29330</v>
      </c>
      <c r="AH8" s="11">
        <v>31748</v>
      </c>
      <c r="AI8" s="11">
        <v>26320</v>
      </c>
      <c r="AJ8" s="11">
        <v>19171</v>
      </c>
      <c r="AK8" s="11">
        <v>13822</v>
      </c>
      <c r="AL8" s="11">
        <v>9469</v>
      </c>
      <c r="AM8" s="11">
        <v>4070</v>
      </c>
      <c r="AN8" s="11">
        <v>1313</v>
      </c>
      <c r="AO8" s="10">
        <v>287</v>
      </c>
      <c r="AP8" s="14">
        <v>39</v>
      </c>
      <c r="AQ8" s="11">
        <v>23103</v>
      </c>
      <c r="AR8" s="10">
        <v>692</v>
      </c>
      <c r="AS8" s="10">
        <v>753</v>
      </c>
      <c r="AT8" s="10">
        <v>402</v>
      </c>
      <c r="AU8" s="10">
        <v>305</v>
      </c>
      <c r="AV8" s="10">
        <v>664</v>
      </c>
      <c r="AW8" s="11">
        <v>1043</v>
      </c>
      <c r="AX8" s="11">
        <v>1902</v>
      </c>
      <c r="AY8" s="11">
        <v>2392</v>
      </c>
      <c r="AZ8" s="11">
        <v>2059</v>
      </c>
      <c r="BA8" s="11">
        <v>1998</v>
      </c>
      <c r="BB8" s="11">
        <v>3221</v>
      </c>
      <c r="BC8" s="11">
        <v>4267</v>
      </c>
      <c r="BD8" s="11">
        <v>2006</v>
      </c>
      <c r="BE8" s="10">
        <v>984</v>
      </c>
      <c r="BF8" s="10">
        <v>261</v>
      </c>
      <c r="BG8" s="10">
        <v>67</v>
      </c>
      <c r="BH8" s="10">
        <v>42</v>
      </c>
      <c r="BI8" s="10">
        <v>25</v>
      </c>
      <c r="BJ8" s="10">
        <v>15</v>
      </c>
      <c r="BK8" s="10">
        <v>5</v>
      </c>
      <c r="BL8" s="1">
        <v>0</v>
      </c>
      <c r="BM8" s="11">
        <v>4013</v>
      </c>
      <c r="BN8" s="15">
        <v>4050</v>
      </c>
      <c r="BO8" s="16">
        <v>30</v>
      </c>
      <c r="BP8" s="17">
        <v>5</v>
      </c>
      <c r="BQ8" s="18">
        <v>0</v>
      </c>
      <c r="BR8" s="18">
        <v>404</v>
      </c>
      <c r="BS8" s="18">
        <v>0</v>
      </c>
      <c r="BT8" s="18">
        <v>2803</v>
      </c>
      <c r="BU8" s="18">
        <v>388</v>
      </c>
      <c r="BV8" s="18">
        <v>12</v>
      </c>
      <c r="BW8" s="18">
        <v>40</v>
      </c>
      <c r="BX8" s="18">
        <v>29</v>
      </c>
      <c r="BY8" s="18">
        <v>544</v>
      </c>
      <c r="BZ8" s="18">
        <v>11</v>
      </c>
      <c r="CA8" s="18">
        <v>90</v>
      </c>
      <c r="CB8" s="18">
        <v>0</v>
      </c>
      <c r="CC8" s="19">
        <v>0</v>
      </c>
      <c r="CD8" s="19">
        <v>8015</v>
      </c>
      <c r="CE8" s="20">
        <v>8270</v>
      </c>
      <c r="CF8" s="18">
        <v>24</v>
      </c>
      <c r="CG8" s="18">
        <v>39</v>
      </c>
      <c r="CH8" s="18">
        <v>19</v>
      </c>
      <c r="CI8" s="18">
        <v>29</v>
      </c>
      <c r="CJ8" s="18">
        <v>140</v>
      </c>
      <c r="CK8" s="18">
        <v>0</v>
      </c>
      <c r="CL8" s="18">
        <v>58</v>
      </c>
      <c r="CM8" s="19">
        <v>0</v>
      </c>
      <c r="CN8" s="21">
        <v>2773</v>
      </c>
      <c r="CO8" s="19">
        <v>14</v>
      </c>
    </row>
    <row r="9" spans="1:93" ht="15.75" customHeight="1" x14ac:dyDescent="0.25">
      <c r="A9" s="9" t="s">
        <v>79</v>
      </c>
      <c r="B9" s="10">
        <v>2</v>
      </c>
      <c r="C9" s="10">
        <v>1</v>
      </c>
      <c r="D9" s="10">
        <v>3</v>
      </c>
      <c r="E9" s="10">
        <v>3</v>
      </c>
      <c r="F9" s="10">
        <v>127</v>
      </c>
      <c r="G9" s="10">
        <v>87</v>
      </c>
      <c r="H9" s="10">
        <v>1118</v>
      </c>
      <c r="I9" s="10">
        <v>662</v>
      </c>
      <c r="J9" s="10">
        <v>1327</v>
      </c>
      <c r="K9" s="1">
        <v>1134</v>
      </c>
      <c r="L9" s="11">
        <v>242818</v>
      </c>
      <c r="M9" s="10">
        <v>13.02</v>
      </c>
      <c r="N9" s="12">
        <v>18649</v>
      </c>
      <c r="O9" s="11">
        <v>115786</v>
      </c>
      <c r="P9" s="13">
        <v>113856</v>
      </c>
      <c r="Q9" s="11">
        <v>6989</v>
      </c>
      <c r="R9" s="13">
        <v>6187</v>
      </c>
      <c r="S9" s="14">
        <v>1.92</v>
      </c>
      <c r="T9" s="12">
        <v>42928</v>
      </c>
      <c r="U9" s="11">
        <v>229642</v>
      </c>
      <c r="V9" s="11">
        <v>4899</v>
      </c>
      <c r="W9" s="11">
        <v>5800</v>
      </c>
      <c r="X9" s="11">
        <v>5800</v>
      </c>
      <c r="Y9" s="11">
        <v>7182</v>
      </c>
      <c r="Z9" s="11">
        <v>12598</v>
      </c>
      <c r="AA9" s="11">
        <v>23817</v>
      </c>
      <c r="AB9" s="11">
        <v>21588</v>
      </c>
      <c r="AC9" s="11">
        <v>15849</v>
      </c>
      <c r="AD9" s="11">
        <v>15431</v>
      </c>
      <c r="AE9" s="11">
        <v>15272</v>
      </c>
      <c r="AF9" s="11">
        <v>19088</v>
      </c>
      <c r="AG9" s="11">
        <v>19101</v>
      </c>
      <c r="AH9" s="11">
        <v>20425</v>
      </c>
      <c r="AI9" s="11">
        <v>15099</v>
      </c>
      <c r="AJ9" s="11">
        <v>10634</v>
      </c>
      <c r="AK9" s="11">
        <v>7767</v>
      </c>
      <c r="AL9" s="11">
        <v>5502</v>
      </c>
      <c r="AM9" s="11">
        <v>2299</v>
      </c>
      <c r="AN9" s="10">
        <v>738</v>
      </c>
      <c r="AO9" s="10">
        <v>155</v>
      </c>
      <c r="AP9" s="14">
        <v>32</v>
      </c>
      <c r="AQ9" s="11">
        <v>13176</v>
      </c>
      <c r="AR9" s="10">
        <v>439</v>
      </c>
      <c r="AS9" s="10">
        <v>436</v>
      </c>
      <c r="AT9" s="10">
        <v>272</v>
      </c>
      <c r="AU9" s="10">
        <v>149</v>
      </c>
      <c r="AV9" s="10">
        <v>303</v>
      </c>
      <c r="AW9" s="10">
        <v>605</v>
      </c>
      <c r="AX9" s="11">
        <v>1071</v>
      </c>
      <c r="AY9" s="11">
        <v>1322</v>
      </c>
      <c r="AZ9" s="11">
        <v>1132</v>
      </c>
      <c r="BA9" s="11">
        <v>1181</v>
      </c>
      <c r="BB9" s="11">
        <v>1950</v>
      </c>
      <c r="BC9" s="11">
        <v>2491</v>
      </c>
      <c r="BD9" s="11">
        <v>1123</v>
      </c>
      <c r="BE9" s="10">
        <v>456</v>
      </c>
      <c r="BF9" s="10">
        <v>167</v>
      </c>
      <c r="BG9" s="10">
        <v>33</v>
      </c>
      <c r="BH9" s="10">
        <v>25</v>
      </c>
      <c r="BI9" s="10">
        <v>10</v>
      </c>
      <c r="BJ9" s="10">
        <v>6</v>
      </c>
      <c r="BK9" s="10">
        <v>4</v>
      </c>
      <c r="BL9" s="1">
        <v>1</v>
      </c>
      <c r="BM9" s="11">
        <v>2498</v>
      </c>
      <c r="BN9" s="15">
        <v>2725</v>
      </c>
      <c r="BO9" s="16">
        <v>9</v>
      </c>
      <c r="BP9" s="17">
        <v>3</v>
      </c>
      <c r="BQ9" s="18">
        <v>0</v>
      </c>
      <c r="BR9" s="18">
        <v>178</v>
      </c>
      <c r="BS9" s="18">
        <v>0</v>
      </c>
      <c r="BT9" s="18">
        <v>1773</v>
      </c>
      <c r="BU9" s="18">
        <v>135</v>
      </c>
      <c r="BV9" s="18">
        <v>0</v>
      </c>
      <c r="BW9" s="18">
        <v>0</v>
      </c>
      <c r="BX9" s="18">
        <v>44</v>
      </c>
      <c r="BY9" s="18">
        <v>270</v>
      </c>
      <c r="BZ9" s="18">
        <v>12</v>
      </c>
      <c r="CA9" s="18">
        <v>0</v>
      </c>
      <c r="CB9" s="18">
        <v>0</v>
      </c>
      <c r="CC9" s="19">
        <v>0</v>
      </c>
      <c r="CD9" s="19">
        <v>6269</v>
      </c>
      <c r="CE9" s="20">
        <v>4945</v>
      </c>
      <c r="CF9" s="18">
        <v>22</v>
      </c>
      <c r="CG9" s="18">
        <v>28</v>
      </c>
      <c r="CH9" s="18">
        <v>24</v>
      </c>
      <c r="CI9" s="18">
        <v>28</v>
      </c>
      <c r="CJ9" s="18">
        <v>100</v>
      </c>
      <c r="CK9" s="18">
        <v>0</v>
      </c>
      <c r="CL9" s="18">
        <v>21</v>
      </c>
      <c r="CM9" s="19">
        <v>0</v>
      </c>
      <c r="CN9" s="21">
        <v>3257</v>
      </c>
      <c r="CO9" s="19">
        <v>17</v>
      </c>
    </row>
    <row r="10" spans="1:93" ht="15.75" customHeight="1" x14ac:dyDescent="0.25">
      <c r="A10" s="9" t="s">
        <v>80</v>
      </c>
      <c r="B10" s="10">
        <v>3</v>
      </c>
      <c r="C10" s="10">
        <v>3</v>
      </c>
      <c r="D10" s="10">
        <v>3</v>
      </c>
      <c r="E10" s="10">
        <v>1</v>
      </c>
      <c r="F10" s="10">
        <v>180</v>
      </c>
      <c r="G10" s="10">
        <v>151</v>
      </c>
      <c r="H10" s="10">
        <v>1504</v>
      </c>
      <c r="I10" s="10">
        <v>729</v>
      </c>
      <c r="J10" s="10">
        <v>2206</v>
      </c>
      <c r="K10" s="1">
        <v>1757</v>
      </c>
      <c r="L10" s="11">
        <v>508014</v>
      </c>
      <c r="M10" s="10">
        <v>35.44</v>
      </c>
      <c r="N10" s="12">
        <v>14335</v>
      </c>
      <c r="O10" s="11">
        <v>242145</v>
      </c>
      <c r="P10" s="13">
        <v>261589</v>
      </c>
      <c r="Q10" s="11">
        <v>1865</v>
      </c>
      <c r="R10" s="13">
        <v>2415</v>
      </c>
      <c r="S10" s="14">
        <v>2.3199999999999998</v>
      </c>
      <c r="T10" s="12">
        <v>92040</v>
      </c>
      <c r="U10" s="11">
        <v>503734</v>
      </c>
      <c r="V10" s="11">
        <v>11250</v>
      </c>
      <c r="W10" s="11">
        <v>17057</v>
      </c>
      <c r="X10" s="11">
        <v>22463</v>
      </c>
      <c r="Y10" s="11">
        <v>26647</v>
      </c>
      <c r="Z10" s="11">
        <v>34461</v>
      </c>
      <c r="AA10" s="11">
        <v>33406</v>
      </c>
      <c r="AB10" s="11">
        <v>31658</v>
      </c>
      <c r="AC10" s="11">
        <v>30220</v>
      </c>
      <c r="AD10" s="11">
        <v>36953</v>
      </c>
      <c r="AE10" s="11">
        <v>41583</v>
      </c>
      <c r="AF10" s="11">
        <v>47683</v>
      </c>
      <c r="AG10" s="11">
        <v>38664</v>
      </c>
      <c r="AH10" s="11">
        <v>39743</v>
      </c>
      <c r="AI10" s="11">
        <v>32025</v>
      </c>
      <c r="AJ10" s="11">
        <v>21950</v>
      </c>
      <c r="AK10" s="11">
        <v>16407</v>
      </c>
      <c r="AL10" s="11">
        <v>12629</v>
      </c>
      <c r="AM10" s="11">
        <v>6169</v>
      </c>
      <c r="AN10" s="11">
        <v>2207</v>
      </c>
      <c r="AO10" s="10">
        <v>480</v>
      </c>
      <c r="AP10" s="14">
        <v>79</v>
      </c>
      <c r="AQ10" s="11">
        <v>4280</v>
      </c>
      <c r="AR10" s="10">
        <v>72</v>
      </c>
      <c r="AS10" s="10">
        <v>51</v>
      </c>
      <c r="AT10" s="10">
        <v>35</v>
      </c>
      <c r="AU10" s="10">
        <v>212</v>
      </c>
      <c r="AV10" s="11">
        <v>1198</v>
      </c>
      <c r="AW10" s="10">
        <v>833</v>
      </c>
      <c r="AX10" s="10">
        <v>497</v>
      </c>
      <c r="AY10" s="10">
        <v>356</v>
      </c>
      <c r="AZ10" s="10">
        <v>247</v>
      </c>
      <c r="BA10" s="10">
        <v>202</v>
      </c>
      <c r="BB10" s="10">
        <v>188</v>
      </c>
      <c r="BC10" s="10">
        <v>187</v>
      </c>
      <c r="BD10" s="10">
        <v>108</v>
      </c>
      <c r="BE10" s="10">
        <v>50</v>
      </c>
      <c r="BF10" s="10">
        <v>23</v>
      </c>
      <c r="BG10" s="10">
        <v>12</v>
      </c>
      <c r="BH10" s="10">
        <v>6</v>
      </c>
      <c r="BI10" s="10">
        <v>2</v>
      </c>
      <c r="BJ10" s="10">
        <v>0</v>
      </c>
      <c r="BK10" s="10">
        <v>1</v>
      </c>
      <c r="BL10" s="1">
        <v>0</v>
      </c>
      <c r="BM10" s="11">
        <v>2284</v>
      </c>
      <c r="BN10" s="15">
        <v>2655</v>
      </c>
      <c r="BO10" s="16">
        <v>27</v>
      </c>
      <c r="BP10" s="17">
        <v>2</v>
      </c>
      <c r="BQ10" s="18">
        <v>0</v>
      </c>
      <c r="BR10" s="18">
        <v>0</v>
      </c>
      <c r="BS10" s="18">
        <v>0</v>
      </c>
      <c r="BT10" s="18">
        <v>1145</v>
      </c>
      <c r="BU10" s="18">
        <v>136</v>
      </c>
      <c r="BV10" s="18">
        <v>0</v>
      </c>
      <c r="BW10" s="18">
        <v>90</v>
      </c>
      <c r="BX10" s="18">
        <v>55</v>
      </c>
      <c r="BY10" s="18">
        <v>582</v>
      </c>
      <c r="BZ10" s="18">
        <v>0</v>
      </c>
      <c r="CA10" s="18">
        <v>0</v>
      </c>
      <c r="CB10" s="18">
        <v>0</v>
      </c>
      <c r="CC10" s="19">
        <v>1</v>
      </c>
      <c r="CD10" s="19">
        <v>5288</v>
      </c>
      <c r="CE10" s="20">
        <v>9573</v>
      </c>
      <c r="CF10" s="18">
        <v>46</v>
      </c>
      <c r="CG10" s="18">
        <v>89</v>
      </c>
      <c r="CH10" s="18">
        <v>8</v>
      </c>
      <c r="CI10" s="18">
        <v>84</v>
      </c>
      <c r="CJ10" s="18">
        <v>225</v>
      </c>
      <c r="CK10" s="18">
        <v>0</v>
      </c>
      <c r="CL10" s="18">
        <v>109</v>
      </c>
      <c r="CM10" s="19">
        <v>2</v>
      </c>
      <c r="CN10" s="21">
        <v>1137</v>
      </c>
      <c r="CO10" s="19">
        <v>13</v>
      </c>
    </row>
    <row r="11" spans="1:93" ht="15.75" customHeight="1" x14ac:dyDescent="0.25">
      <c r="A11" s="9" t="s">
        <v>81</v>
      </c>
      <c r="B11" s="10">
        <v>3</v>
      </c>
      <c r="C11" s="10">
        <v>3</v>
      </c>
      <c r="D11" s="10">
        <v>0</v>
      </c>
      <c r="E11" s="10">
        <v>0</v>
      </c>
      <c r="F11" s="10">
        <v>70</v>
      </c>
      <c r="G11" s="10">
        <v>54</v>
      </c>
      <c r="H11" s="10">
        <v>969</v>
      </c>
      <c r="I11" s="10">
        <v>546</v>
      </c>
      <c r="J11" s="10">
        <v>1099</v>
      </c>
      <c r="K11" s="1">
        <v>966</v>
      </c>
      <c r="L11" s="11">
        <v>313989</v>
      </c>
      <c r="M11" s="10">
        <v>20.65</v>
      </c>
      <c r="N11" s="1">
        <v>15205</v>
      </c>
      <c r="O11" s="11">
        <v>151398</v>
      </c>
      <c r="P11" s="13">
        <v>160296</v>
      </c>
      <c r="Q11" s="10">
        <v>777</v>
      </c>
      <c r="R11" s="13">
        <v>1518</v>
      </c>
      <c r="S11" s="14">
        <v>2.25</v>
      </c>
      <c r="T11" s="12">
        <v>66998</v>
      </c>
      <c r="U11" s="11">
        <v>311694</v>
      </c>
      <c r="V11" s="11">
        <v>6202</v>
      </c>
      <c r="W11" s="11">
        <v>9387</v>
      </c>
      <c r="X11" s="11">
        <v>11027</v>
      </c>
      <c r="Y11" s="11">
        <v>12481</v>
      </c>
      <c r="Z11" s="11">
        <v>17670</v>
      </c>
      <c r="AA11" s="11">
        <v>21719</v>
      </c>
      <c r="AB11" s="11">
        <v>19763</v>
      </c>
      <c r="AC11" s="11">
        <v>18539</v>
      </c>
      <c r="AD11" s="11">
        <v>21591</v>
      </c>
      <c r="AE11" s="11">
        <v>22836</v>
      </c>
      <c r="AF11" s="11">
        <v>28469</v>
      </c>
      <c r="AG11" s="11">
        <v>26281</v>
      </c>
      <c r="AH11" s="11">
        <v>28787</v>
      </c>
      <c r="AI11" s="11">
        <v>23328</v>
      </c>
      <c r="AJ11" s="11">
        <v>15917</v>
      </c>
      <c r="AK11" s="11">
        <v>12149</v>
      </c>
      <c r="AL11" s="11">
        <v>9493</v>
      </c>
      <c r="AM11" s="11">
        <v>4246</v>
      </c>
      <c r="AN11" s="11">
        <v>1445</v>
      </c>
      <c r="AO11" s="10">
        <v>322</v>
      </c>
      <c r="AP11" s="14">
        <v>42</v>
      </c>
      <c r="AQ11" s="11">
        <v>2295</v>
      </c>
      <c r="AR11" s="10">
        <v>47</v>
      </c>
      <c r="AS11" s="10">
        <v>34</v>
      </c>
      <c r="AT11" s="10">
        <v>26</v>
      </c>
      <c r="AU11" s="10">
        <v>107</v>
      </c>
      <c r="AV11" s="10">
        <v>386</v>
      </c>
      <c r="AW11" s="10">
        <v>357</v>
      </c>
      <c r="AX11" s="10">
        <v>311</v>
      </c>
      <c r="AY11" s="10">
        <v>248</v>
      </c>
      <c r="AZ11" s="10">
        <v>181</v>
      </c>
      <c r="BA11" s="10">
        <v>149</v>
      </c>
      <c r="BB11" s="10">
        <v>169</v>
      </c>
      <c r="BC11" s="10">
        <v>145</v>
      </c>
      <c r="BD11" s="10">
        <v>79</v>
      </c>
      <c r="BE11" s="10">
        <v>35</v>
      </c>
      <c r="BF11" s="10">
        <v>14</v>
      </c>
      <c r="BG11" s="10">
        <v>3</v>
      </c>
      <c r="BH11" s="10">
        <v>3</v>
      </c>
      <c r="BI11" s="10">
        <v>1</v>
      </c>
      <c r="BJ11" s="10">
        <v>0</v>
      </c>
      <c r="BK11" s="10">
        <v>0</v>
      </c>
      <c r="BL11" s="1">
        <v>0</v>
      </c>
      <c r="BM11" s="11">
        <v>1994</v>
      </c>
      <c r="BN11" s="15">
        <v>1598</v>
      </c>
      <c r="BO11" s="11">
        <v>26</v>
      </c>
      <c r="BP11" s="22">
        <v>3</v>
      </c>
      <c r="BQ11" s="18">
        <v>0</v>
      </c>
      <c r="BR11" s="21">
        <v>106</v>
      </c>
      <c r="BS11" s="18">
        <v>0</v>
      </c>
      <c r="BT11" s="21">
        <v>1118</v>
      </c>
      <c r="BU11" s="21">
        <v>54</v>
      </c>
      <c r="BV11" s="18">
        <v>0</v>
      </c>
      <c r="BW11" s="21">
        <v>0</v>
      </c>
      <c r="BX11" s="21">
        <v>0</v>
      </c>
      <c r="BY11" s="21">
        <v>80</v>
      </c>
      <c r="BZ11" s="18">
        <v>0</v>
      </c>
      <c r="CA11" s="18">
        <v>0</v>
      </c>
      <c r="CB11" s="18">
        <v>44</v>
      </c>
      <c r="CC11" s="20">
        <v>0</v>
      </c>
      <c r="CD11" s="12">
        <v>6339</v>
      </c>
      <c r="CE11" s="20">
        <v>4613</v>
      </c>
      <c r="CF11" s="21">
        <v>26</v>
      </c>
      <c r="CG11" s="21">
        <v>75</v>
      </c>
      <c r="CH11" s="21">
        <v>30</v>
      </c>
      <c r="CI11" s="21">
        <v>43</v>
      </c>
      <c r="CJ11" s="21">
        <v>175</v>
      </c>
      <c r="CK11" s="18">
        <v>0</v>
      </c>
      <c r="CL11" s="21">
        <v>44</v>
      </c>
      <c r="CM11" s="20">
        <v>2</v>
      </c>
      <c r="CN11" s="21">
        <v>3503</v>
      </c>
      <c r="CO11" s="20">
        <v>9</v>
      </c>
    </row>
    <row r="12" spans="1:93" ht="15.75" customHeight="1" x14ac:dyDescent="0.25">
      <c r="A12" s="9" t="s">
        <v>82</v>
      </c>
      <c r="B12" s="10">
        <v>4</v>
      </c>
      <c r="C12" s="10">
        <v>4</v>
      </c>
      <c r="D12" s="10">
        <v>2</v>
      </c>
      <c r="E12" s="10">
        <v>2</v>
      </c>
      <c r="F12" s="10">
        <v>125</v>
      </c>
      <c r="G12" s="10">
        <v>106</v>
      </c>
      <c r="H12" s="10">
        <v>1556</v>
      </c>
      <c r="I12" s="10">
        <v>823</v>
      </c>
      <c r="J12" s="10">
        <v>1566</v>
      </c>
      <c r="K12" s="1">
        <v>1296</v>
      </c>
      <c r="L12" s="11">
        <v>353601</v>
      </c>
      <c r="M12" s="10">
        <v>14.22</v>
      </c>
      <c r="N12" s="12">
        <v>15205</v>
      </c>
      <c r="O12" s="11">
        <v>165755</v>
      </c>
      <c r="P12" s="13">
        <v>170889</v>
      </c>
      <c r="Q12" s="11">
        <v>6148</v>
      </c>
      <c r="R12" s="13">
        <v>10809</v>
      </c>
      <c r="S12" s="14">
        <v>1.98</v>
      </c>
      <c r="T12" s="12">
        <v>64468</v>
      </c>
      <c r="U12" s="11">
        <v>336644</v>
      </c>
      <c r="V12" s="11">
        <v>8143</v>
      </c>
      <c r="W12" s="11">
        <v>10499</v>
      </c>
      <c r="X12" s="11">
        <v>10834</v>
      </c>
      <c r="Y12" s="11">
        <v>11900</v>
      </c>
      <c r="Z12" s="11">
        <v>25652</v>
      </c>
      <c r="AA12" s="11">
        <v>30577</v>
      </c>
      <c r="AB12" s="11">
        <v>25407</v>
      </c>
      <c r="AC12" s="11">
        <v>23160</v>
      </c>
      <c r="AD12" s="11">
        <v>24836</v>
      </c>
      <c r="AE12" s="11">
        <v>23572</v>
      </c>
      <c r="AF12" s="11">
        <v>27138</v>
      </c>
      <c r="AG12" s="11">
        <v>24459</v>
      </c>
      <c r="AH12" s="11">
        <v>26212</v>
      </c>
      <c r="AI12" s="11">
        <v>21602</v>
      </c>
      <c r="AJ12" s="11">
        <v>15442</v>
      </c>
      <c r="AK12" s="11">
        <v>12325</v>
      </c>
      <c r="AL12" s="11">
        <v>9144</v>
      </c>
      <c r="AM12" s="11">
        <v>4169</v>
      </c>
      <c r="AN12" s="11">
        <v>1259</v>
      </c>
      <c r="AO12" s="10">
        <v>259</v>
      </c>
      <c r="AP12" s="14">
        <v>55</v>
      </c>
      <c r="AQ12" s="11">
        <v>16957</v>
      </c>
      <c r="AR12" s="10">
        <v>173</v>
      </c>
      <c r="AS12" s="10">
        <v>150</v>
      </c>
      <c r="AT12" s="10">
        <v>85</v>
      </c>
      <c r="AU12" s="10">
        <v>912</v>
      </c>
      <c r="AV12" s="11">
        <v>7148</v>
      </c>
      <c r="AW12" s="11">
        <v>4026</v>
      </c>
      <c r="AX12" s="11">
        <v>1295</v>
      </c>
      <c r="AY12" s="10">
        <v>746</v>
      </c>
      <c r="AZ12" s="10">
        <v>508</v>
      </c>
      <c r="BA12" s="10">
        <v>415</v>
      </c>
      <c r="BB12" s="10">
        <v>500</v>
      </c>
      <c r="BC12" s="10">
        <v>526</v>
      </c>
      <c r="BD12" s="10">
        <v>260</v>
      </c>
      <c r="BE12" s="10">
        <v>124</v>
      </c>
      <c r="BF12" s="10">
        <v>44</v>
      </c>
      <c r="BG12" s="10">
        <v>17</v>
      </c>
      <c r="BH12" s="10">
        <v>12</v>
      </c>
      <c r="BI12" s="10">
        <v>11</v>
      </c>
      <c r="BJ12" s="10">
        <v>4</v>
      </c>
      <c r="BK12" s="10">
        <v>1</v>
      </c>
      <c r="BL12" s="1">
        <v>0</v>
      </c>
      <c r="BM12" s="11">
        <v>2592</v>
      </c>
      <c r="BN12" s="15">
        <v>2857</v>
      </c>
      <c r="BO12" s="16">
        <v>39</v>
      </c>
      <c r="BP12" s="22">
        <v>1</v>
      </c>
      <c r="BQ12" s="18">
        <v>0</v>
      </c>
      <c r="BR12" s="21">
        <v>180</v>
      </c>
      <c r="BS12" s="21">
        <v>18</v>
      </c>
      <c r="BT12" s="21">
        <v>1844</v>
      </c>
      <c r="BU12" s="21">
        <v>150</v>
      </c>
      <c r="BV12" s="18">
        <v>0</v>
      </c>
      <c r="BW12" s="21">
        <v>0</v>
      </c>
      <c r="BX12" s="21">
        <v>34</v>
      </c>
      <c r="BY12" s="21">
        <v>383</v>
      </c>
      <c r="BZ12" s="18">
        <v>0</v>
      </c>
      <c r="CA12" s="18">
        <v>19</v>
      </c>
      <c r="CB12" s="18">
        <v>0</v>
      </c>
      <c r="CC12" s="20">
        <v>0</v>
      </c>
      <c r="CD12" s="12">
        <v>10527</v>
      </c>
      <c r="CE12" s="20">
        <v>8359</v>
      </c>
      <c r="CF12" s="21">
        <v>39</v>
      </c>
      <c r="CG12" s="21">
        <v>129</v>
      </c>
      <c r="CH12" s="21">
        <v>62</v>
      </c>
      <c r="CI12" s="21">
        <v>36</v>
      </c>
      <c r="CJ12" s="21">
        <v>237</v>
      </c>
      <c r="CK12" s="18">
        <v>0</v>
      </c>
      <c r="CL12" s="21">
        <v>36</v>
      </c>
      <c r="CM12" s="20">
        <v>3</v>
      </c>
      <c r="CN12" s="21">
        <v>13011</v>
      </c>
      <c r="CO12" s="20">
        <v>13</v>
      </c>
    </row>
    <row r="13" spans="1:93" ht="15.75" customHeight="1" x14ac:dyDescent="0.25">
      <c r="A13" s="9" t="s">
        <v>83</v>
      </c>
      <c r="B13" s="10">
        <v>2</v>
      </c>
      <c r="C13" s="10">
        <v>3</v>
      </c>
      <c r="D13" s="10">
        <v>5</v>
      </c>
      <c r="E13" s="10">
        <v>5</v>
      </c>
      <c r="F13" s="10">
        <v>212</v>
      </c>
      <c r="G13" s="10">
        <v>107</v>
      </c>
      <c r="H13" s="10">
        <v>1195</v>
      </c>
      <c r="I13" s="10">
        <v>588</v>
      </c>
      <c r="J13" s="10">
        <v>1321</v>
      </c>
      <c r="K13" s="1">
        <v>1038</v>
      </c>
      <c r="L13" s="11">
        <v>390432</v>
      </c>
      <c r="M13" s="10">
        <v>16.36</v>
      </c>
      <c r="N13" s="12">
        <v>23870</v>
      </c>
      <c r="O13" s="11">
        <v>184030</v>
      </c>
      <c r="P13" s="13">
        <v>196566</v>
      </c>
      <c r="Q13" s="11">
        <v>4050</v>
      </c>
      <c r="R13" s="13">
        <v>5786</v>
      </c>
      <c r="S13" s="14">
        <v>2.0499999999999998</v>
      </c>
      <c r="T13" s="12">
        <v>68231</v>
      </c>
      <c r="U13" s="11">
        <v>380596</v>
      </c>
      <c r="V13" s="11">
        <v>9021</v>
      </c>
      <c r="W13" s="11">
        <v>12331</v>
      </c>
      <c r="X13" s="11">
        <v>12684</v>
      </c>
      <c r="Y13" s="11">
        <v>13992</v>
      </c>
      <c r="Z13" s="11">
        <v>26142</v>
      </c>
      <c r="AA13" s="11">
        <v>38059</v>
      </c>
      <c r="AB13" s="11">
        <v>32706</v>
      </c>
      <c r="AC13" s="11">
        <v>27150</v>
      </c>
      <c r="AD13" s="11">
        <v>28431</v>
      </c>
      <c r="AE13" s="11">
        <v>27362</v>
      </c>
      <c r="AF13" s="11">
        <v>30607</v>
      </c>
      <c r="AG13" s="11">
        <v>26579</v>
      </c>
      <c r="AH13" s="11">
        <v>27660</v>
      </c>
      <c r="AI13" s="11">
        <v>22640</v>
      </c>
      <c r="AJ13" s="11">
        <v>16827</v>
      </c>
      <c r="AK13" s="11">
        <v>13036</v>
      </c>
      <c r="AL13" s="11">
        <v>9241</v>
      </c>
      <c r="AM13" s="11">
        <v>4311</v>
      </c>
      <c r="AN13" s="11">
        <v>1424</v>
      </c>
      <c r="AO13" s="10">
        <v>335</v>
      </c>
      <c r="AP13" s="14">
        <v>58</v>
      </c>
      <c r="AQ13" s="11">
        <v>9836</v>
      </c>
      <c r="AR13" s="10">
        <v>134</v>
      </c>
      <c r="AS13" s="10">
        <v>130</v>
      </c>
      <c r="AT13" s="10">
        <v>92</v>
      </c>
      <c r="AU13" s="10">
        <v>366</v>
      </c>
      <c r="AV13" s="11">
        <v>2657</v>
      </c>
      <c r="AW13" s="11">
        <v>1629</v>
      </c>
      <c r="AX13" s="10">
        <v>827</v>
      </c>
      <c r="AY13" s="10">
        <v>712</v>
      </c>
      <c r="AZ13" s="10">
        <v>489</v>
      </c>
      <c r="BA13" s="10">
        <v>386</v>
      </c>
      <c r="BB13" s="10">
        <v>670</v>
      </c>
      <c r="BC13" s="10">
        <v>888</v>
      </c>
      <c r="BD13" s="10">
        <v>497</v>
      </c>
      <c r="BE13" s="10">
        <v>232</v>
      </c>
      <c r="BF13" s="10">
        <v>73</v>
      </c>
      <c r="BG13" s="10">
        <v>23</v>
      </c>
      <c r="BH13" s="10">
        <v>10</v>
      </c>
      <c r="BI13" s="10">
        <v>14</v>
      </c>
      <c r="BJ13" s="10">
        <v>4</v>
      </c>
      <c r="BK13" s="10">
        <v>0</v>
      </c>
      <c r="BL13" s="1">
        <v>3</v>
      </c>
      <c r="BM13" s="11">
        <v>2404</v>
      </c>
      <c r="BN13" s="15">
        <v>2650</v>
      </c>
      <c r="BO13" s="16">
        <v>27</v>
      </c>
      <c r="BP13" s="22">
        <v>1</v>
      </c>
      <c r="BQ13" s="18">
        <v>0</v>
      </c>
      <c r="BR13" s="21">
        <v>127</v>
      </c>
      <c r="BS13" s="21">
        <v>117</v>
      </c>
      <c r="BT13" s="21">
        <v>1297</v>
      </c>
      <c r="BU13" s="21">
        <v>43</v>
      </c>
      <c r="BV13" s="18">
        <v>0</v>
      </c>
      <c r="BW13" s="21">
        <v>62</v>
      </c>
      <c r="BX13" s="21">
        <v>20</v>
      </c>
      <c r="BY13" s="21">
        <v>349</v>
      </c>
      <c r="BZ13" s="18">
        <v>0</v>
      </c>
      <c r="CA13" s="18">
        <v>10</v>
      </c>
      <c r="CB13" s="18">
        <v>0</v>
      </c>
      <c r="CC13" s="20">
        <v>0</v>
      </c>
      <c r="CD13" s="12">
        <v>8838</v>
      </c>
      <c r="CE13" s="20">
        <v>6019</v>
      </c>
      <c r="CF13" s="21">
        <v>58</v>
      </c>
      <c r="CG13" s="21">
        <v>69</v>
      </c>
      <c r="CH13" s="21">
        <v>35</v>
      </c>
      <c r="CI13" s="21">
        <v>58</v>
      </c>
      <c r="CJ13" s="21">
        <v>352</v>
      </c>
      <c r="CK13" s="18">
        <v>0</v>
      </c>
      <c r="CL13" s="21">
        <v>75</v>
      </c>
      <c r="CM13" s="20">
        <v>0</v>
      </c>
      <c r="CN13" s="21">
        <v>10274</v>
      </c>
      <c r="CO13" s="20">
        <v>19</v>
      </c>
    </row>
    <row r="14" spans="1:93" ht="15.75" customHeight="1" x14ac:dyDescent="0.25">
      <c r="A14" s="9" t="s">
        <v>84</v>
      </c>
      <c r="B14" s="10">
        <v>2</v>
      </c>
      <c r="C14" s="10">
        <v>2</v>
      </c>
      <c r="D14" s="10">
        <v>2</v>
      </c>
      <c r="E14" s="10">
        <v>1</v>
      </c>
      <c r="F14" s="10">
        <v>436</v>
      </c>
      <c r="G14" s="10">
        <v>368</v>
      </c>
      <c r="H14" s="10">
        <v>1451</v>
      </c>
      <c r="I14" s="10">
        <v>653</v>
      </c>
      <c r="J14" s="10">
        <v>2205</v>
      </c>
      <c r="K14" s="1">
        <v>1790</v>
      </c>
      <c r="L14" s="11">
        <v>375585</v>
      </c>
      <c r="M14" s="10">
        <v>23.85</v>
      </c>
      <c r="N14" s="12">
        <v>15745</v>
      </c>
      <c r="O14" s="11">
        <v>171043</v>
      </c>
      <c r="P14" s="13">
        <v>193595</v>
      </c>
      <c r="Q14" s="11">
        <v>3963</v>
      </c>
      <c r="R14" s="13">
        <v>6984</v>
      </c>
      <c r="S14" s="14">
        <v>2.02</v>
      </c>
      <c r="T14" s="12">
        <v>55914</v>
      </c>
      <c r="U14" s="11">
        <v>364638</v>
      </c>
      <c r="V14" s="11">
        <v>9336</v>
      </c>
      <c r="W14" s="11">
        <v>12395</v>
      </c>
      <c r="X14" s="11">
        <v>13273</v>
      </c>
      <c r="Y14" s="11">
        <v>14136</v>
      </c>
      <c r="Z14" s="11">
        <v>24060</v>
      </c>
      <c r="AA14" s="11">
        <v>36061</v>
      </c>
      <c r="AB14" s="11">
        <v>33546</v>
      </c>
      <c r="AC14" s="11">
        <v>29438</v>
      </c>
      <c r="AD14" s="11">
        <v>29509</v>
      </c>
      <c r="AE14" s="11">
        <v>28762</v>
      </c>
      <c r="AF14" s="11">
        <v>30642</v>
      </c>
      <c r="AG14" s="11">
        <v>24432</v>
      </c>
      <c r="AH14" s="11">
        <v>23515</v>
      </c>
      <c r="AI14" s="11">
        <v>18048</v>
      </c>
      <c r="AJ14" s="11">
        <v>12860</v>
      </c>
      <c r="AK14" s="11">
        <v>10509</v>
      </c>
      <c r="AL14" s="11">
        <v>8334</v>
      </c>
      <c r="AM14" s="11">
        <v>4061</v>
      </c>
      <c r="AN14" s="11">
        <v>1396</v>
      </c>
      <c r="AO14" s="10">
        <v>270</v>
      </c>
      <c r="AP14" s="14">
        <v>55</v>
      </c>
      <c r="AQ14" s="11">
        <v>10947</v>
      </c>
      <c r="AR14" s="10">
        <v>139</v>
      </c>
      <c r="AS14" s="10">
        <v>195</v>
      </c>
      <c r="AT14" s="10">
        <v>153</v>
      </c>
      <c r="AU14" s="10">
        <v>435</v>
      </c>
      <c r="AV14" s="11">
        <v>2895</v>
      </c>
      <c r="AW14" s="11">
        <v>2211</v>
      </c>
      <c r="AX14" s="11">
        <v>1348</v>
      </c>
      <c r="AY14" s="10">
        <v>885</v>
      </c>
      <c r="AZ14" s="10">
        <v>706</v>
      </c>
      <c r="BA14" s="10">
        <v>441</v>
      </c>
      <c r="BB14" s="10">
        <v>448</v>
      </c>
      <c r="BC14" s="10">
        <v>440</v>
      </c>
      <c r="BD14" s="10">
        <v>270</v>
      </c>
      <c r="BE14" s="10">
        <v>204</v>
      </c>
      <c r="BF14" s="10">
        <v>92</v>
      </c>
      <c r="BG14" s="10">
        <v>37</v>
      </c>
      <c r="BH14" s="10">
        <v>29</v>
      </c>
      <c r="BI14" s="10">
        <v>9</v>
      </c>
      <c r="BJ14" s="10">
        <v>5</v>
      </c>
      <c r="BK14" s="10">
        <v>2</v>
      </c>
      <c r="BL14" s="1">
        <v>3</v>
      </c>
      <c r="BM14" s="11">
        <v>2500</v>
      </c>
      <c r="BN14" s="15">
        <v>2450</v>
      </c>
      <c r="BO14" s="16">
        <v>33</v>
      </c>
      <c r="BP14" s="22">
        <v>1</v>
      </c>
      <c r="BQ14" s="18">
        <v>0</v>
      </c>
      <c r="BR14" s="21">
        <v>0</v>
      </c>
      <c r="BS14" s="21">
        <v>0</v>
      </c>
      <c r="BT14" s="21">
        <v>1861</v>
      </c>
      <c r="BU14" s="21">
        <v>0</v>
      </c>
      <c r="BV14" s="18">
        <v>0</v>
      </c>
      <c r="BW14" s="21">
        <v>0</v>
      </c>
      <c r="BX14" s="21">
        <v>0</v>
      </c>
      <c r="BY14" s="21">
        <v>0</v>
      </c>
      <c r="BZ14" s="18">
        <v>0</v>
      </c>
      <c r="CA14" s="18">
        <v>0</v>
      </c>
      <c r="CB14" s="18">
        <v>0</v>
      </c>
      <c r="CC14" s="20">
        <v>0</v>
      </c>
      <c r="CD14" s="12">
        <v>5718</v>
      </c>
      <c r="CE14" s="20">
        <v>8901</v>
      </c>
      <c r="CF14" s="21">
        <v>26</v>
      </c>
      <c r="CG14" s="21">
        <v>29</v>
      </c>
      <c r="CH14" s="21">
        <v>2</v>
      </c>
      <c r="CI14" s="21">
        <v>45</v>
      </c>
      <c r="CJ14" s="21">
        <v>126</v>
      </c>
      <c r="CK14" s="18">
        <v>0</v>
      </c>
      <c r="CL14" s="21">
        <v>48</v>
      </c>
      <c r="CM14" s="20">
        <v>0</v>
      </c>
      <c r="CN14" s="21">
        <v>3298</v>
      </c>
      <c r="CO14" s="20">
        <v>11</v>
      </c>
    </row>
    <row r="15" spans="1:93" ht="15.75" customHeight="1" x14ac:dyDescent="0.25">
      <c r="A15" s="9" t="s">
        <v>85</v>
      </c>
      <c r="B15" s="10">
        <v>5</v>
      </c>
      <c r="C15" s="10">
        <v>4</v>
      </c>
      <c r="D15" s="10">
        <v>6</v>
      </c>
      <c r="E15" s="10">
        <v>6</v>
      </c>
      <c r="F15" s="10">
        <v>157</v>
      </c>
      <c r="G15" s="10">
        <v>144</v>
      </c>
      <c r="H15" s="10">
        <v>1114</v>
      </c>
      <c r="I15" s="10">
        <v>565</v>
      </c>
      <c r="J15" s="10">
        <v>1092</v>
      </c>
      <c r="K15" s="1">
        <v>886</v>
      </c>
      <c r="L15" s="11">
        <v>319554</v>
      </c>
      <c r="M15" s="10">
        <v>17.63</v>
      </c>
      <c r="N15" s="12">
        <v>18129</v>
      </c>
      <c r="O15" s="11">
        <v>145816</v>
      </c>
      <c r="P15" s="13">
        <v>160521</v>
      </c>
      <c r="Q15" s="11">
        <v>4278</v>
      </c>
      <c r="R15" s="13">
        <v>8939</v>
      </c>
      <c r="S15" s="14">
        <v>2.1</v>
      </c>
      <c r="T15" s="12">
        <v>55996</v>
      </c>
      <c r="U15" s="11">
        <v>306337</v>
      </c>
      <c r="V15" s="11">
        <v>7815</v>
      </c>
      <c r="W15" s="11">
        <v>10580</v>
      </c>
      <c r="X15" s="11">
        <v>10747</v>
      </c>
      <c r="Y15" s="11">
        <v>11869</v>
      </c>
      <c r="Z15" s="11">
        <v>21706</v>
      </c>
      <c r="AA15" s="11">
        <v>27130</v>
      </c>
      <c r="AB15" s="11">
        <v>23207</v>
      </c>
      <c r="AC15" s="11">
        <v>21231</v>
      </c>
      <c r="AD15" s="11">
        <v>22713</v>
      </c>
      <c r="AE15" s="11">
        <v>22325</v>
      </c>
      <c r="AF15" s="11">
        <v>26274</v>
      </c>
      <c r="AG15" s="11">
        <v>22502</v>
      </c>
      <c r="AH15" s="11">
        <v>22736</v>
      </c>
      <c r="AI15" s="11">
        <v>17839</v>
      </c>
      <c r="AJ15" s="11">
        <v>12642</v>
      </c>
      <c r="AK15" s="11">
        <v>10626</v>
      </c>
      <c r="AL15" s="11">
        <v>8641</v>
      </c>
      <c r="AM15" s="11">
        <v>4117</v>
      </c>
      <c r="AN15" s="11">
        <v>1306</v>
      </c>
      <c r="AO15" s="10">
        <v>279</v>
      </c>
      <c r="AP15" s="14">
        <v>52</v>
      </c>
      <c r="AQ15" s="11">
        <v>13217</v>
      </c>
      <c r="AR15" s="10">
        <v>100</v>
      </c>
      <c r="AS15" s="10">
        <v>167</v>
      </c>
      <c r="AT15" s="10">
        <v>183</v>
      </c>
      <c r="AU15" s="10">
        <v>722</v>
      </c>
      <c r="AV15" s="11">
        <v>4836</v>
      </c>
      <c r="AW15" s="11">
        <v>2644</v>
      </c>
      <c r="AX15" s="11">
        <v>1102</v>
      </c>
      <c r="AY15" s="10">
        <v>738</v>
      </c>
      <c r="AZ15" s="10">
        <v>625</v>
      </c>
      <c r="BA15" s="10">
        <v>435</v>
      </c>
      <c r="BB15" s="10">
        <v>444</v>
      </c>
      <c r="BC15" s="10">
        <v>410</v>
      </c>
      <c r="BD15" s="10">
        <v>317</v>
      </c>
      <c r="BE15" s="10">
        <v>217</v>
      </c>
      <c r="BF15" s="10">
        <v>124</v>
      </c>
      <c r="BG15" s="10">
        <v>73</v>
      </c>
      <c r="BH15" s="10">
        <v>44</v>
      </c>
      <c r="BI15" s="10">
        <v>26</v>
      </c>
      <c r="BJ15" s="10">
        <v>5</v>
      </c>
      <c r="BK15" s="10">
        <v>4</v>
      </c>
      <c r="BL15" s="1">
        <v>1</v>
      </c>
      <c r="BM15" s="11">
        <v>2928</v>
      </c>
      <c r="BN15" s="15">
        <v>3224</v>
      </c>
      <c r="BO15" s="16">
        <v>16</v>
      </c>
      <c r="BP15" s="22">
        <v>2</v>
      </c>
      <c r="BQ15" s="18">
        <v>0</v>
      </c>
      <c r="BR15" s="21">
        <v>480</v>
      </c>
      <c r="BS15" s="21">
        <v>3</v>
      </c>
      <c r="BT15" s="21">
        <v>1843</v>
      </c>
      <c r="BU15" s="21">
        <v>314</v>
      </c>
      <c r="BV15" s="21">
        <v>8</v>
      </c>
      <c r="BW15" s="21">
        <v>0</v>
      </c>
      <c r="BX15" s="21">
        <v>0</v>
      </c>
      <c r="BY15" s="21">
        <v>135</v>
      </c>
      <c r="BZ15" s="18">
        <v>4</v>
      </c>
      <c r="CA15" s="18">
        <v>76</v>
      </c>
      <c r="CB15" s="18">
        <v>0</v>
      </c>
      <c r="CC15" s="20">
        <v>0</v>
      </c>
      <c r="CD15" s="12">
        <v>7241</v>
      </c>
      <c r="CE15" s="20">
        <v>5994</v>
      </c>
      <c r="CF15" s="21">
        <v>22</v>
      </c>
      <c r="CG15" s="21">
        <v>76</v>
      </c>
      <c r="CH15" s="21">
        <v>0</v>
      </c>
      <c r="CI15" s="21">
        <v>67</v>
      </c>
      <c r="CJ15" s="21">
        <v>241</v>
      </c>
      <c r="CK15" s="18">
        <v>0</v>
      </c>
      <c r="CL15" s="21">
        <v>73</v>
      </c>
      <c r="CM15" s="20">
        <v>2</v>
      </c>
      <c r="CN15" s="21">
        <v>4163</v>
      </c>
      <c r="CO15" s="20">
        <v>11</v>
      </c>
    </row>
    <row r="16" spans="1:93" ht="15.75" customHeight="1" x14ac:dyDescent="0.25">
      <c r="A16" s="9" t="s">
        <v>86</v>
      </c>
      <c r="B16" s="10">
        <v>3</v>
      </c>
      <c r="C16" s="10">
        <v>2</v>
      </c>
      <c r="D16" s="10">
        <v>3</v>
      </c>
      <c r="E16" s="10">
        <v>3</v>
      </c>
      <c r="F16" s="10">
        <v>431</v>
      </c>
      <c r="G16" s="10">
        <v>328</v>
      </c>
      <c r="H16" s="10">
        <v>1921</v>
      </c>
      <c r="I16" s="10">
        <v>1024</v>
      </c>
      <c r="J16" s="10">
        <v>2101</v>
      </c>
      <c r="K16" s="1">
        <v>1741</v>
      </c>
      <c r="L16" s="11">
        <v>408451</v>
      </c>
      <c r="M16" s="10">
        <v>46.97</v>
      </c>
      <c r="N16" s="12">
        <v>8696</v>
      </c>
      <c r="O16" s="11">
        <v>193159</v>
      </c>
      <c r="P16" s="13">
        <v>211166</v>
      </c>
      <c r="Q16" s="11">
        <v>2009</v>
      </c>
      <c r="R16" s="13">
        <v>2117</v>
      </c>
      <c r="S16" s="14">
        <v>2.41</v>
      </c>
      <c r="T16" s="12">
        <v>62347</v>
      </c>
      <c r="U16" s="11">
        <v>404325</v>
      </c>
      <c r="V16" s="11">
        <v>10886</v>
      </c>
      <c r="W16" s="11">
        <v>18166</v>
      </c>
      <c r="X16" s="11">
        <v>22880</v>
      </c>
      <c r="Y16" s="11">
        <v>21663</v>
      </c>
      <c r="Z16" s="11">
        <v>22500</v>
      </c>
      <c r="AA16" s="11">
        <v>27549</v>
      </c>
      <c r="AB16" s="11">
        <v>28361</v>
      </c>
      <c r="AC16" s="11">
        <v>28376</v>
      </c>
      <c r="AD16" s="11">
        <v>35923</v>
      </c>
      <c r="AE16" s="11">
        <v>37193</v>
      </c>
      <c r="AF16" s="11">
        <v>36314</v>
      </c>
      <c r="AG16" s="11">
        <v>26797</v>
      </c>
      <c r="AH16" s="11">
        <v>25489</v>
      </c>
      <c r="AI16" s="11">
        <v>22003</v>
      </c>
      <c r="AJ16" s="11">
        <v>15814</v>
      </c>
      <c r="AK16" s="11">
        <v>11728</v>
      </c>
      <c r="AL16" s="11">
        <v>7297</v>
      </c>
      <c r="AM16" s="11">
        <v>3636</v>
      </c>
      <c r="AN16" s="11">
        <v>1344</v>
      </c>
      <c r="AO16" s="10">
        <v>353</v>
      </c>
      <c r="AP16" s="14">
        <v>53</v>
      </c>
      <c r="AQ16" s="11">
        <v>4126</v>
      </c>
      <c r="AR16" s="10">
        <v>107</v>
      </c>
      <c r="AS16" s="10">
        <v>179</v>
      </c>
      <c r="AT16" s="10">
        <v>169</v>
      </c>
      <c r="AU16" s="10">
        <v>135</v>
      </c>
      <c r="AV16" s="10">
        <v>306</v>
      </c>
      <c r="AW16" s="10">
        <v>524</v>
      </c>
      <c r="AX16" s="10">
        <v>544</v>
      </c>
      <c r="AY16" s="10">
        <v>518</v>
      </c>
      <c r="AZ16" s="10">
        <v>463</v>
      </c>
      <c r="BA16" s="10">
        <v>410</v>
      </c>
      <c r="BB16" s="10">
        <v>330</v>
      </c>
      <c r="BC16" s="10">
        <v>213</v>
      </c>
      <c r="BD16" s="10">
        <v>109</v>
      </c>
      <c r="BE16" s="10">
        <v>63</v>
      </c>
      <c r="BF16" s="10">
        <v>25</v>
      </c>
      <c r="BG16" s="10">
        <v>14</v>
      </c>
      <c r="BH16" s="10">
        <v>8</v>
      </c>
      <c r="BI16" s="10">
        <v>5</v>
      </c>
      <c r="BJ16" s="10">
        <v>1</v>
      </c>
      <c r="BK16" s="10">
        <v>2</v>
      </c>
      <c r="BL16" s="1">
        <v>1</v>
      </c>
      <c r="BM16" s="11">
        <v>3180</v>
      </c>
      <c r="BN16" s="15">
        <v>5060</v>
      </c>
      <c r="BO16" s="16">
        <v>38</v>
      </c>
      <c r="BP16" s="22">
        <v>2</v>
      </c>
      <c r="BQ16" s="18">
        <v>0</v>
      </c>
      <c r="BR16" s="21">
        <v>170</v>
      </c>
      <c r="BS16" s="21">
        <v>61</v>
      </c>
      <c r="BT16" s="21">
        <v>2173</v>
      </c>
      <c r="BU16" s="21">
        <v>761</v>
      </c>
      <c r="BV16" s="21">
        <v>96</v>
      </c>
      <c r="BW16" s="21">
        <v>36</v>
      </c>
      <c r="BX16" s="21">
        <v>0</v>
      </c>
      <c r="BY16" s="21">
        <v>334</v>
      </c>
      <c r="BZ16" s="18">
        <v>0</v>
      </c>
      <c r="CA16" s="18">
        <v>70</v>
      </c>
      <c r="CB16" s="18">
        <v>0</v>
      </c>
      <c r="CC16" s="20">
        <v>0</v>
      </c>
      <c r="CD16" s="12">
        <v>11337</v>
      </c>
      <c r="CE16" s="20">
        <v>12593</v>
      </c>
      <c r="CF16" s="21">
        <v>47</v>
      </c>
      <c r="CG16" s="21">
        <v>84</v>
      </c>
      <c r="CH16" s="21">
        <v>0</v>
      </c>
      <c r="CI16" s="21">
        <v>87</v>
      </c>
      <c r="CJ16" s="21">
        <v>351</v>
      </c>
      <c r="CK16" s="18">
        <v>0</v>
      </c>
      <c r="CL16" s="21">
        <v>126</v>
      </c>
      <c r="CM16" s="20">
        <v>1</v>
      </c>
      <c r="CN16" s="21">
        <v>11227</v>
      </c>
      <c r="CO16" s="20">
        <v>24</v>
      </c>
    </row>
    <row r="17" spans="1:93" ht="15.75" customHeight="1" x14ac:dyDescent="0.25">
      <c r="A17" s="9" t="s">
        <v>87</v>
      </c>
      <c r="B17" s="10">
        <v>2</v>
      </c>
      <c r="C17" s="10">
        <v>2</v>
      </c>
      <c r="D17" s="10">
        <v>2</v>
      </c>
      <c r="E17" s="10">
        <v>2</v>
      </c>
      <c r="F17" s="10">
        <v>125</v>
      </c>
      <c r="G17" s="10">
        <v>97</v>
      </c>
      <c r="H17" s="10">
        <v>979</v>
      </c>
      <c r="I17" s="10">
        <v>538</v>
      </c>
      <c r="J17" s="10">
        <v>1086</v>
      </c>
      <c r="K17" s="1">
        <v>958</v>
      </c>
      <c r="L17" s="11">
        <v>288234</v>
      </c>
      <c r="M17" s="10">
        <v>16.82</v>
      </c>
      <c r="N17" s="12">
        <v>17136</v>
      </c>
      <c r="O17" s="11">
        <v>136633</v>
      </c>
      <c r="P17" s="13">
        <v>144367</v>
      </c>
      <c r="Q17" s="11">
        <v>3058</v>
      </c>
      <c r="R17" s="13">
        <v>4176</v>
      </c>
      <c r="S17" s="14">
        <v>2.11</v>
      </c>
      <c r="T17" s="12">
        <v>47720</v>
      </c>
      <c r="U17" s="11">
        <v>281000</v>
      </c>
      <c r="V17" s="11">
        <v>8637</v>
      </c>
      <c r="W17" s="11">
        <v>9598</v>
      </c>
      <c r="X17" s="11">
        <v>8668</v>
      </c>
      <c r="Y17" s="11">
        <v>9839</v>
      </c>
      <c r="Z17" s="11">
        <v>17823</v>
      </c>
      <c r="AA17" s="11">
        <v>24315</v>
      </c>
      <c r="AB17" s="11">
        <v>23353</v>
      </c>
      <c r="AC17" s="11">
        <v>22317</v>
      </c>
      <c r="AD17" s="11">
        <v>22071</v>
      </c>
      <c r="AE17" s="11">
        <v>20168</v>
      </c>
      <c r="AF17" s="11">
        <v>23776</v>
      </c>
      <c r="AG17" s="11">
        <v>21135</v>
      </c>
      <c r="AH17" s="11">
        <v>21770</v>
      </c>
      <c r="AI17" s="11">
        <v>16484</v>
      </c>
      <c r="AJ17" s="11">
        <v>11172</v>
      </c>
      <c r="AK17" s="11">
        <v>8901</v>
      </c>
      <c r="AL17" s="11">
        <v>6637</v>
      </c>
      <c r="AM17" s="11">
        <v>3127</v>
      </c>
      <c r="AN17" s="10">
        <v>963</v>
      </c>
      <c r="AO17" s="10">
        <v>201</v>
      </c>
      <c r="AP17" s="14">
        <v>45</v>
      </c>
      <c r="AQ17" s="11">
        <v>7234</v>
      </c>
      <c r="AR17" s="10">
        <v>115</v>
      </c>
      <c r="AS17" s="10">
        <v>97</v>
      </c>
      <c r="AT17" s="10">
        <v>71</v>
      </c>
      <c r="AU17" s="10">
        <v>316</v>
      </c>
      <c r="AV17" s="11">
        <v>2053</v>
      </c>
      <c r="AW17" s="11">
        <v>1354</v>
      </c>
      <c r="AX17" s="10">
        <v>700</v>
      </c>
      <c r="AY17" s="10">
        <v>513</v>
      </c>
      <c r="AZ17" s="10">
        <v>406</v>
      </c>
      <c r="BA17" s="10">
        <v>297</v>
      </c>
      <c r="BB17" s="10">
        <v>445</v>
      </c>
      <c r="BC17" s="10">
        <v>439</v>
      </c>
      <c r="BD17" s="10">
        <v>238</v>
      </c>
      <c r="BE17" s="10">
        <v>108</v>
      </c>
      <c r="BF17" s="10">
        <v>45</v>
      </c>
      <c r="BG17" s="10">
        <v>19</v>
      </c>
      <c r="BH17" s="10">
        <v>5</v>
      </c>
      <c r="BI17" s="10">
        <v>5</v>
      </c>
      <c r="BJ17" s="10">
        <v>3</v>
      </c>
      <c r="BK17" s="10">
        <v>0</v>
      </c>
      <c r="BL17" s="1">
        <v>5</v>
      </c>
      <c r="BM17" s="11">
        <v>3627</v>
      </c>
      <c r="BN17" s="15">
        <v>4036</v>
      </c>
      <c r="BO17" s="16">
        <v>15</v>
      </c>
      <c r="BP17" s="22">
        <v>4</v>
      </c>
      <c r="BQ17" s="18">
        <v>0</v>
      </c>
      <c r="BR17" s="21">
        <v>949</v>
      </c>
      <c r="BS17" s="21">
        <v>42</v>
      </c>
      <c r="BT17" s="21">
        <v>0</v>
      </c>
      <c r="BU17" s="21">
        <v>103</v>
      </c>
      <c r="BV17" s="21">
        <v>0</v>
      </c>
      <c r="BW17" s="21">
        <v>0</v>
      </c>
      <c r="BX17" s="21">
        <v>126</v>
      </c>
      <c r="BY17" s="21">
        <v>0</v>
      </c>
      <c r="BZ17" s="18">
        <v>6</v>
      </c>
      <c r="CA17" s="18">
        <v>30</v>
      </c>
      <c r="CB17" s="18">
        <v>0</v>
      </c>
      <c r="CC17" s="20">
        <v>0</v>
      </c>
      <c r="CD17" s="12">
        <v>216</v>
      </c>
      <c r="CE17" s="20">
        <v>6256</v>
      </c>
      <c r="CF17" s="21">
        <v>19</v>
      </c>
      <c r="CG17" s="21">
        <v>81</v>
      </c>
      <c r="CH17" s="21">
        <v>8</v>
      </c>
      <c r="CI17" s="21">
        <v>14</v>
      </c>
      <c r="CJ17" s="21">
        <v>102</v>
      </c>
      <c r="CK17" s="18">
        <v>0</v>
      </c>
      <c r="CL17" s="21">
        <v>26</v>
      </c>
      <c r="CM17" s="20">
        <v>3</v>
      </c>
      <c r="CN17" s="21">
        <v>5743</v>
      </c>
      <c r="CO17" s="20">
        <v>13</v>
      </c>
    </row>
    <row r="18" spans="1:93" ht="15.75" customHeight="1" x14ac:dyDescent="0.25">
      <c r="A18" s="9" t="s">
        <v>88</v>
      </c>
      <c r="B18" s="10">
        <v>3</v>
      </c>
      <c r="C18" s="10">
        <v>3</v>
      </c>
      <c r="D18" s="10">
        <v>1</v>
      </c>
      <c r="E18" s="10">
        <v>1</v>
      </c>
      <c r="F18" s="10">
        <v>158</v>
      </c>
      <c r="G18" s="10">
        <v>129</v>
      </c>
      <c r="H18" s="10">
        <v>1143</v>
      </c>
      <c r="I18" s="10">
        <v>715</v>
      </c>
      <c r="J18" s="10">
        <v>1444</v>
      </c>
      <c r="K18" s="1">
        <v>1277</v>
      </c>
      <c r="L18" s="11">
        <v>441984</v>
      </c>
      <c r="M18" s="10">
        <v>24.58</v>
      </c>
      <c r="N18" s="12">
        <v>17983</v>
      </c>
      <c r="O18" s="11">
        <v>206961</v>
      </c>
      <c r="P18" s="13">
        <v>223436</v>
      </c>
      <c r="Q18" s="11">
        <v>4285</v>
      </c>
      <c r="R18" s="13">
        <v>7302</v>
      </c>
      <c r="S18" s="14">
        <v>2.1800000000000002</v>
      </c>
      <c r="T18" s="12">
        <v>77475</v>
      </c>
      <c r="U18" s="11">
        <v>430397</v>
      </c>
      <c r="V18" s="11">
        <v>10629</v>
      </c>
      <c r="W18" s="11">
        <v>15251</v>
      </c>
      <c r="X18" s="11">
        <v>17040</v>
      </c>
      <c r="Y18" s="11">
        <v>19122</v>
      </c>
      <c r="Z18" s="11">
        <v>31609</v>
      </c>
      <c r="AA18" s="11">
        <v>33803</v>
      </c>
      <c r="AB18" s="11">
        <v>29319</v>
      </c>
      <c r="AC18" s="11">
        <v>28327</v>
      </c>
      <c r="AD18" s="11">
        <v>32347</v>
      </c>
      <c r="AE18" s="11">
        <v>33645</v>
      </c>
      <c r="AF18" s="11">
        <v>38817</v>
      </c>
      <c r="AG18" s="11">
        <v>31449</v>
      </c>
      <c r="AH18" s="11">
        <v>31746</v>
      </c>
      <c r="AI18" s="11">
        <v>25659</v>
      </c>
      <c r="AJ18" s="11">
        <v>18286</v>
      </c>
      <c r="AK18" s="11">
        <v>14622</v>
      </c>
      <c r="AL18" s="11">
        <v>11438</v>
      </c>
      <c r="AM18" s="11">
        <v>5156</v>
      </c>
      <c r="AN18" s="11">
        <v>1710</v>
      </c>
      <c r="AO18" s="10">
        <v>371</v>
      </c>
      <c r="AP18" s="14">
        <v>51</v>
      </c>
      <c r="AQ18" s="11">
        <v>11587</v>
      </c>
      <c r="AR18" s="10">
        <v>162</v>
      </c>
      <c r="AS18" s="10">
        <v>134</v>
      </c>
      <c r="AT18" s="10">
        <v>101</v>
      </c>
      <c r="AU18" s="10">
        <v>951</v>
      </c>
      <c r="AV18" s="11">
        <v>4179</v>
      </c>
      <c r="AW18" s="11">
        <v>2390</v>
      </c>
      <c r="AX18" s="11">
        <v>1102</v>
      </c>
      <c r="AY18" s="10">
        <v>712</v>
      </c>
      <c r="AZ18" s="10">
        <v>488</v>
      </c>
      <c r="BA18" s="10">
        <v>372</v>
      </c>
      <c r="BB18" s="10">
        <v>355</v>
      </c>
      <c r="BC18" s="10">
        <v>278</v>
      </c>
      <c r="BD18" s="10">
        <v>181</v>
      </c>
      <c r="BE18" s="10">
        <v>100</v>
      </c>
      <c r="BF18" s="10">
        <v>41</v>
      </c>
      <c r="BG18" s="10">
        <v>18</v>
      </c>
      <c r="BH18" s="10">
        <v>12</v>
      </c>
      <c r="BI18" s="10">
        <v>6</v>
      </c>
      <c r="BJ18" s="10">
        <v>3</v>
      </c>
      <c r="BK18" s="10">
        <v>1</v>
      </c>
      <c r="BL18" s="1">
        <v>1</v>
      </c>
      <c r="BM18" s="11">
        <v>4014</v>
      </c>
      <c r="BN18" s="15">
        <v>3943</v>
      </c>
      <c r="BO18" s="16">
        <v>30</v>
      </c>
      <c r="BP18" s="22">
        <v>0</v>
      </c>
      <c r="BQ18" s="18">
        <v>0</v>
      </c>
      <c r="BR18" s="21">
        <v>106</v>
      </c>
      <c r="BS18" s="21">
        <v>0</v>
      </c>
      <c r="BT18" s="21">
        <v>3386</v>
      </c>
      <c r="BU18" s="21">
        <v>54</v>
      </c>
      <c r="BV18" s="21">
        <v>0</v>
      </c>
      <c r="BW18" s="21">
        <v>0</v>
      </c>
      <c r="BX18" s="21">
        <v>0</v>
      </c>
      <c r="BY18" s="21">
        <v>79</v>
      </c>
      <c r="BZ18" s="18">
        <v>0</v>
      </c>
      <c r="CA18" s="18">
        <v>0</v>
      </c>
      <c r="CB18" s="18">
        <v>0</v>
      </c>
      <c r="CC18" s="20">
        <v>0</v>
      </c>
      <c r="CD18" s="12">
        <v>9986</v>
      </c>
      <c r="CE18" s="20">
        <v>5755</v>
      </c>
      <c r="CF18" s="21">
        <v>71</v>
      </c>
      <c r="CG18" s="21">
        <v>236</v>
      </c>
      <c r="CH18" s="21">
        <v>21</v>
      </c>
      <c r="CI18" s="21">
        <v>95</v>
      </c>
      <c r="CJ18" s="21">
        <v>374</v>
      </c>
      <c r="CK18" s="18">
        <v>0</v>
      </c>
      <c r="CL18" s="21">
        <v>107</v>
      </c>
      <c r="CM18" s="20">
        <v>17</v>
      </c>
      <c r="CN18" s="21">
        <v>4233</v>
      </c>
      <c r="CO18" s="20">
        <v>16</v>
      </c>
    </row>
    <row r="19" spans="1:93" ht="15.75" customHeight="1" x14ac:dyDescent="0.25">
      <c r="A19" s="9" t="s">
        <v>89</v>
      </c>
      <c r="B19" s="10">
        <v>2</v>
      </c>
      <c r="C19" s="10">
        <v>2</v>
      </c>
      <c r="D19" s="10">
        <v>5</v>
      </c>
      <c r="E19" s="10">
        <v>6</v>
      </c>
      <c r="F19" s="10">
        <v>290</v>
      </c>
      <c r="G19" s="10">
        <v>220</v>
      </c>
      <c r="H19" s="10">
        <v>2201</v>
      </c>
      <c r="I19" s="10">
        <v>1033</v>
      </c>
      <c r="J19" s="10">
        <v>2669</v>
      </c>
      <c r="K19" s="1">
        <v>2148</v>
      </c>
      <c r="L19" s="11">
        <v>664514</v>
      </c>
      <c r="M19" s="10">
        <v>33.880000000000003</v>
      </c>
      <c r="N19" s="12">
        <v>19616</v>
      </c>
      <c r="O19" s="11">
        <v>317180</v>
      </c>
      <c r="P19" s="13">
        <v>341621</v>
      </c>
      <c r="Q19" s="11">
        <v>2563</v>
      </c>
      <c r="R19" s="13">
        <v>3150</v>
      </c>
      <c r="S19" s="14">
        <v>2.31</v>
      </c>
      <c r="T19" s="12">
        <v>103573</v>
      </c>
      <c r="U19" s="11">
        <v>658801</v>
      </c>
      <c r="V19" s="11">
        <v>18972</v>
      </c>
      <c r="W19" s="11">
        <v>27148</v>
      </c>
      <c r="X19" s="11">
        <v>29448</v>
      </c>
      <c r="Y19" s="11">
        <v>28904</v>
      </c>
      <c r="Z19" s="11">
        <v>36028</v>
      </c>
      <c r="AA19" s="11">
        <v>51377</v>
      </c>
      <c r="AB19" s="11">
        <v>54057</v>
      </c>
      <c r="AC19" s="11">
        <v>51439</v>
      </c>
      <c r="AD19" s="11">
        <v>56357</v>
      </c>
      <c r="AE19" s="11">
        <v>51290</v>
      </c>
      <c r="AF19" s="11">
        <v>54586</v>
      </c>
      <c r="AG19" s="11">
        <v>47165</v>
      </c>
      <c r="AH19" s="11">
        <v>48669</v>
      </c>
      <c r="AI19" s="11">
        <v>40230</v>
      </c>
      <c r="AJ19" s="11">
        <v>26479</v>
      </c>
      <c r="AK19" s="11">
        <v>17679</v>
      </c>
      <c r="AL19" s="11">
        <v>10915</v>
      </c>
      <c r="AM19" s="11">
        <v>5398</v>
      </c>
      <c r="AN19" s="11">
        <v>2078</v>
      </c>
      <c r="AO19" s="10">
        <v>499</v>
      </c>
      <c r="AP19" s="14">
        <v>83</v>
      </c>
      <c r="AQ19" s="11">
        <v>5713</v>
      </c>
      <c r="AR19" s="10">
        <v>124</v>
      </c>
      <c r="AS19" s="10">
        <v>136</v>
      </c>
      <c r="AT19" s="10">
        <v>79</v>
      </c>
      <c r="AU19" s="10">
        <v>89</v>
      </c>
      <c r="AV19" s="10">
        <v>332</v>
      </c>
      <c r="AW19" s="10">
        <v>716</v>
      </c>
      <c r="AX19" s="10">
        <v>769</v>
      </c>
      <c r="AY19" s="10">
        <v>752</v>
      </c>
      <c r="AZ19" s="10">
        <v>530</v>
      </c>
      <c r="BA19" s="10">
        <v>447</v>
      </c>
      <c r="BB19" s="10">
        <v>602</v>
      </c>
      <c r="BC19" s="10">
        <v>622</v>
      </c>
      <c r="BD19" s="10">
        <v>303</v>
      </c>
      <c r="BE19" s="10">
        <v>131</v>
      </c>
      <c r="BF19" s="10">
        <v>50</v>
      </c>
      <c r="BG19" s="10">
        <v>14</v>
      </c>
      <c r="BH19" s="10">
        <v>11</v>
      </c>
      <c r="BI19" s="10">
        <v>4</v>
      </c>
      <c r="BJ19" s="10">
        <v>1</v>
      </c>
      <c r="BK19" s="10">
        <v>1</v>
      </c>
      <c r="BL19" s="1">
        <v>0</v>
      </c>
      <c r="BM19" s="11">
        <v>2805</v>
      </c>
      <c r="BN19" s="15">
        <v>3094</v>
      </c>
      <c r="BO19" s="16">
        <v>42</v>
      </c>
      <c r="BP19" s="22">
        <v>1</v>
      </c>
      <c r="BQ19" s="18">
        <v>0</v>
      </c>
      <c r="BR19" s="21">
        <v>543</v>
      </c>
      <c r="BS19" s="21">
        <v>0</v>
      </c>
      <c r="BT19" s="21">
        <v>1513</v>
      </c>
      <c r="BU19" s="21">
        <v>275</v>
      </c>
      <c r="BV19" s="21">
        <v>0</v>
      </c>
      <c r="BW19" s="21">
        <v>44</v>
      </c>
      <c r="BX19" s="21">
        <v>0</v>
      </c>
      <c r="BY19" s="21">
        <v>171</v>
      </c>
      <c r="BZ19" s="18">
        <v>0</v>
      </c>
      <c r="CA19" s="18">
        <v>33</v>
      </c>
      <c r="CB19" s="18">
        <v>0</v>
      </c>
      <c r="CC19" s="20">
        <v>144</v>
      </c>
      <c r="CD19" s="12">
        <v>4363</v>
      </c>
      <c r="CE19" s="20">
        <v>14822</v>
      </c>
      <c r="CF19" s="21">
        <v>47</v>
      </c>
      <c r="CG19" s="21">
        <v>142</v>
      </c>
      <c r="CH19" s="21">
        <v>47</v>
      </c>
      <c r="CI19" s="21">
        <v>73</v>
      </c>
      <c r="CJ19" s="21">
        <v>266</v>
      </c>
      <c r="CK19" s="18">
        <v>0</v>
      </c>
      <c r="CL19" s="21">
        <v>58</v>
      </c>
      <c r="CM19" s="20">
        <v>22</v>
      </c>
      <c r="CN19" s="21">
        <v>13487</v>
      </c>
      <c r="CO19" s="20">
        <v>18</v>
      </c>
    </row>
    <row r="20" spans="1:93" ht="15.75" customHeight="1" x14ac:dyDescent="0.25">
      <c r="A20" s="9" t="s">
        <v>90</v>
      </c>
      <c r="B20" s="10">
        <v>2</v>
      </c>
      <c r="C20" s="10">
        <v>2</v>
      </c>
      <c r="D20" s="10">
        <v>3</v>
      </c>
      <c r="E20" s="10">
        <v>3</v>
      </c>
      <c r="F20" s="10">
        <v>114</v>
      </c>
      <c r="G20" s="10">
        <v>92</v>
      </c>
      <c r="H20" s="10">
        <v>1474</v>
      </c>
      <c r="I20" s="10">
        <v>781</v>
      </c>
      <c r="J20" s="10">
        <v>1576</v>
      </c>
      <c r="K20" s="1">
        <v>1252</v>
      </c>
      <c r="L20" s="11">
        <v>444010</v>
      </c>
      <c r="M20" s="10">
        <v>17.41</v>
      </c>
      <c r="N20" s="12">
        <v>25509</v>
      </c>
      <c r="O20" s="11">
        <v>215682</v>
      </c>
      <c r="P20" s="13">
        <v>225199</v>
      </c>
      <c r="Q20" s="11">
        <v>1293</v>
      </c>
      <c r="R20" s="13">
        <v>1836</v>
      </c>
      <c r="S20" s="14">
        <v>2.4300000000000002</v>
      </c>
      <c r="T20" s="12">
        <v>72393</v>
      </c>
      <c r="U20" s="11">
        <v>440881</v>
      </c>
      <c r="V20" s="11">
        <v>9728</v>
      </c>
      <c r="W20" s="11">
        <v>17327</v>
      </c>
      <c r="X20" s="11">
        <v>24023</v>
      </c>
      <c r="Y20" s="11">
        <v>24718</v>
      </c>
      <c r="Z20" s="11">
        <v>25505</v>
      </c>
      <c r="AA20" s="11">
        <v>29319</v>
      </c>
      <c r="AB20" s="11">
        <v>27232</v>
      </c>
      <c r="AC20" s="11">
        <v>26936</v>
      </c>
      <c r="AD20" s="11">
        <v>35504</v>
      </c>
      <c r="AE20" s="11">
        <v>38644</v>
      </c>
      <c r="AF20" s="11">
        <v>41234</v>
      </c>
      <c r="AG20" s="11">
        <v>34064</v>
      </c>
      <c r="AH20" s="11">
        <v>34412</v>
      </c>
      <c r="AI20" s="11">
        <v>27317</v>
      </c>
      <c r="AJ20" s="11">
        <v>18532</v>
      </c>
      <c r="AK20" s="11">
        <v>12273</v>
      </c>
      <c r="AL20" s="11">
        <v>8294</v>
      </c>
      <c r="AM20" s="11">
        <v>3960</v>
      </c>
      <c r="AN20" s="11">
        <v>1477</v>
      </c>
      <c r="AO20" s="10">
        <v>331</v>
      </c>
      <c r="AP20" s="14">
        <v>51</v>
      </c>
      <c r="AQ20" s="11">
        <v>3129</v>
      </c>
      <c r="AR20" s="10">
        <v>47</v>
      </c>
      <c r="AS20" s="10">
        <v>61</v>
      </c>
      <c r="AT20" s="10">
        <v>60</v>
      </c>
      <c r="AU20" s="10">
        <v>51</v>
      </c>
      <c r="AV20" s="10">
        <v>159</v>
      </c>
      <c r="AW20" s="10">
        <v>294</v>
      </c>
      <c r="AX20" s="10">
        <v>377</v>
      </c>
      <c r="AY20" s="10">
        <v>374</v>
      </c>
      <c r="AZ20" s="10">
        <v>309</v>
      </c>
      <c r="BA20" s="10">
        <v>286</v>
      </c>
      <c r="BB20" s="10">
        <v>361</v>
      </c>
      <c r="BC20" s="10">
        <v>411</v>
      </c>
      <c r="BD20" s="10">
        <v>181</v>
      </c>
      <c r="BE20" s="10">
        <v>87</v>
      </c>
      <c r="BF20" s="10">
        <v>44</v>
      </c>
      <c r="BG20" s="10">
        <v>12</v>
      </c>
      <c r="BH20" s="10">
        <v>4</v>
      </c>
      <c r="BI20" s="10">
        <v>6</v>
      </c>
      <c r="BJ20" s="10">
        <v>3</v>
      </c>
      <c r="BK20" s="10">
        <v>0</v>
      </c>
      <c r="BL20" s="1">
        <v>2</v>
      </c>
      <c r="BM20" s="11">
        <v>3627</v>
      </c>
      <c r="BN20" s="15">
        <v>3845</v>
      </c>
      <c r="BO20" s="16">
        <v>13</v>
      </c>
      <c r="BP20" s="22">
        <v>3</v>
      </c>
      <c r="BQ20" s="18">
        <v>0</v>
      </c>
      <c r="BR20" s="21">
        <v>259</v>
      </c>
      <c r="BS20" s="21">
        <v>0</v>
      </c>
      <c r="BT20" s="21">
        <v>2103</v>
      </c>
      <c r="BU20" s="21">
        <v>0</v>
      </c>
      <c r="BV20" s="21">
        <v>0</v>
      </c>
      <c r="BW20" s="21">
        <v>0</v>
      </c>
      <c r="BX20" s="21">
        <v>0</v>
      </c>
      <c r="BY20" s="21">
        <v>768</v>
      </c>
      <c r="BZ20" s="18">
        <v>0</v>
      </c>
      <c r="CA20" s="18">
        <v>0</v>
      </c>
      <c r="CB20" s="18">
        <v>0</v>
      </c>
      <c r="CC20" s="20">
        <v>0</v>
      </c>
      <c r="CD20" s="12">
        <v>3801</v>
      </c>
      <c r="CE20" s="20">
        <v>8717</v>
      </c>
      <c r="CF20" s="21">
        <v>12</v>
      </c>
      <c r="CG20" s="21">
        <v>25</v>
      </c>
      <c r="CH20" s="21">
        <v>2</v>
      </c>
      <c r="CI20" s="21">
        <v>27</v>
      </c>
      <c r="CJ20" s="21">
        <v>106</v>
      </c>
      <c r="CK20" s="18">
        <v>0</v>
      </c>
      <c r="CL20" s="21">
        <v>42</v>
      </c>
      <c r="CM20" s="20">
        <v>2</v>
      </c>
      <c r="CN20" s="21">
        <v>2828</v>
      </c>
      <c r="CO20" s="20">
        <v>7</v>
      </c>
    </row>
    <row r="21" spans="1:93" ht="15.75" customHeight="1" x14ac:dyDescent="0.25">
      <c r="A21" s="9" t="s">
        <v>91</v>
      </c>
      <c r="B21" s="10">
        <v>5</v>
      </c>
      <c r="C21" s="10">
        <v>6</v>
      </c>
      <c r="D21" s="10">
        <v>10</v>
      </c>
      <c r="E21" s="10">
        <v>9</v>
      </c>
      <c r="F21" s="10">
        <v>327</v>
      </c>
      <c r="G21" s="10">
        <v>237</v>
      </c>
      <c r="H21" s="10">
        <v>2062</v>
      </c>
      <c r="I21" s="10">
        <v>953</v>
      </c>
      <c r="J21" s="10">
        <v>2415</v>
      </c>
      <c r="K21" s="1">
        <v>1981</v>
      </c>
      <c r="L21" s="11">
        <v>398085</v>
      </c>
      <c r="M21" s="10">
        <v>24.55</v>
      </c>
      <c r="N21" s="12">
        <v>16215</v>
      </c>
      <c r="O21" s="11">
        <v>184660</v>
      </c>
      <c r="P21" s="13">
        <v>191015</v>
      </c>
      <c r="Q21" s="11">
        <v>11604</v>
      </c>
      <c r="R21" s="13">
        <v>10806</v>
      </c>
      <c r="S21" s="14">
        <v>1.99</v>
      </c>
      <c r="T21" s="12">
        <v>64810</v>
      </c>
      <c r="U21" s="11">
        <v>375675</v>
      </c>
      <c r="V21" s="11">
        <v>11077</v>
      </c>
      <c r="W21" s="11">
        <v>12473</v>
      </c>
      <c r="X21" s="11">
        <v>11689</v>
      </c>
      <c r="Y21" s="11">
        <v>11893</v>
      </c>
      <c r="Z21" s="11">
        <v>20719</v>
      </c>
      <c r="AA21" s="11">
        <v>36970</v>
      </c>
      <c r="AB21" s="11">
        <v>38434</v>
      </c>
      <c r="AC21" s="11">
        <v>31232</v>
      </c>
      <c r="AD21" s="11">
        <v>29021</v>
      </c>
      <c r="AE21" s="11">
        <v>26081</v>
      </c>
      <c r="AF21" s="11">
        <v>29257</v>
      </c>
      <c r="AG21" s="11">
        <v>26288</v>
      </c>
      <c r="AH21" s="11">
        <v>27192</v>
      </c>
      <c r="AI21" s="11">
        <v>21365</v>
      </c>
      <c r="AJ21" s="11">
        <v>15680</v>
      </c>
      <c r="AK21" s="11">
        <v>11705</v>
      </c>
      <c r="AL21" s="11">
        <v>8672</v>
      </c>
      <c r="AM21" s="11">
        <v>4288</v>
      </c>
      <c r="AN21" s="11">
        <v>1326</v>
      </c>
      <c r="AO21" s="10">
        <v>273</v>
      </c>
      <c r="AP21" s="14">
        <v>40</v>
      </c>
      <c r="AQ21" s="11">
        <v>22410</v>
      </c>
      <c r="AR21" s="10">
        <v>599</v>
      </c>
      <c r="AS21" s="10">
        <v>704</v>
      </c>
      <c r="AT21" s="10">
        <v>416</v>
      </c>
      <c r="AU21" s="10">
        <v>325</v>
      </c>
      <c r="AV21" s="10">
        <v>721</v>
      </c>
      <c r="AW21" s="11">
        <v>1160</v>
      </c>
      <c r="AX21" s="11">
        <v>1708</v>
      </c>
      <c r="AY21" s="11">
        <v>2130</v>
      </c>
      <c r="AZ21" s="11">
        <v>1871</v>
      </c>
      <c r="BA21" s="11">
        <v>2008</v>
      </c>
      <c r="BB21" s="11">
        <v>3093</v>
      </c>
      <c r="BC21" s="11">
        <v>4105</v>
      </c>
      <c r="BD21" s="11">
        <v>2109</v>
      </c>
      <c r="BE21" s="10">
        <v>965</v>
      </c>
      <c r="BF21" s="10">
        <v>317</v>
      </c>
      <c r="BG21" s="10">
        <v>71</v>
      </c>
      <c r="BH21" s="10">
        <v>52</v>
      </c>
      <c r="BI21" s="10">
        <v>29</v>
      </c>
      <c r="BJ21" s="10">
        <v>13</v>
      </c>
      <c r="BK21" s="10">
        <v>13</v>
      </c>
      <c r="BL21" s="1">
        <v>1</v>
      </c>
      <c r="BM21" s="11">
        <v>3896</v>
      </c>
      <c r="BN21" s="15">
        <v>2899</v>
      </c>
      <c r="BO21" s="16">
        <v>21</v>
      </c>
      <c r="BP21" s="22">
        <v>3</v>
      </c>
      <c r="BQ21" s="18">
        <v>1</v>
      </c>
      <c r="BR21" s="21">
        <v>175</v>
      </c>
      <c r="BS21" s="21">
        <v>0</v>
      </c>
      <c r="BT21" s="21">
        <v>2756</v>
      </c>
      <c r="BU21" s="21">
        <v>516</v>
      </c>
      <c r="BV21" s="21">
        <v>0</v>
      </c>
      <c r="BW21" s="21">
        <v>7</v>
      </c>
      <c r="BX21" s="21">
        <v>53</v>
      </c>
      <c r="BY21" s="21">
        <v>264</v>
      </c>
      <c r="BZ21" s="18">
        <v>0</v>
      </c>
      <c r="CA21" s="18">
        <v>0</v>
      </c>
      <c r="CB21" s="18">
        <v>0</v>
      </c>
      <c r="CC21" s="20">
        <v>0</v>
      </c>
      <c r="CD21" s="12">
        <v>9052</v>
      </c>
      <c r="CE21" s="20">
        <v>9653</v>
      </c>
      <c r="CF21" s="21">
        <v>41</v>
      </c>
      <c r="CG21" s="21">
        <v>59</v>
      </c>
      <c r="CH21" s="21">
        <v>0</v>
      </c>
      <c r="CI21" s="21">
        <v>76</v>
      </c>
      <c r="CJ21" s="21">
        <v>241</v>
      </c>
      <c r="CK21" s="21">
        <v>67</v>
      </c>
      <c r="CL21" s="21">
        <v>75</v>
      </c>
      <c r="CM21" s="20">
        <v>1</v>
      </c>
      <c r="CN21" s="21">
        <v>1917</v>
      </c>
      <c r="CO21" s="20">
        <v>13</v>
      </c>
    </row>
    <row r="22" spans="1:93" ht="15.75" customHeight="1" x14ac:dyDescent="0.25">
      <c r="A22" s="9" t="s">
        <v>92</v>
      </c>
      <c r="B22" s="10">
        <v>5</v>
      </c>
      <c r="C22" s="10">
        <v>3</v>
      </c>
      <c r="D22" s="10">
        <v>7</v>
      </c>
      <c r="E22" s="10">
        <v>7</v>
      </c>
      <c r="F22" s="10">
        <v>280</v>
      </c>
      <c r="G22" s="10">
        <v>238</v>
      </c>
      <c r="H22" s="10">
        <v>978</v>
      </c>
      <c r="I22" s="10">
        <v>508</v>
      </c>
      <c r="J22" s="10">
        <v>1697</v>
      </c>
      <c r="K22" s="1">
        <v>1337</v>
      </c>
      <c r="L22" s="11">
        <v>233284</v>
      </c>
      <c r="M22" s="10">
        <v>21.87</v>
      </c>
      <c r="N22" s="12">
        <v>10668</v>
      </c>
      <c r="O22" s="11">
        <v>105087</v>
      </c>
      <c r="P22" s="13">
        <v>113563</v>
      </c>
      <c r="Q22" s="11">
        <v>7925</v>
      </c>
      <c r="R22" s="13">
        <v>6709</v>
      </c>
      <c r="S22" s="14">
        <v>1.99</v>
      </c>
      <c r="T22" s="12">
        <v>39037</v>
      </c>
      <c r="U22" s="11">
        <v>218650</v>
      </c>
      <c r="V22" s="11">
        <v>5498</v>
      </c>
      <c r="W22" s="11">
        <v>6475</v>
      </c>
      <c r="X22" s="11">
        <v>6704</v>
      </c>
      <c r="Y22" s="11">
        <v>7537</v>
      </c>
      <c r="Z22" s="11">
        <v>12560</v>
      </c>
      <c r="AA22" s="11">
        <v>19243</v>
      </c>
      <c r="AB22" s="11">
        <v>20719</v>
      </c>
      <c r="AC22" s="11">
        <v>17328</v>
      </c>
      <c r="AD22" s="11">
        <v>16919</v>
      </c>
      <c r="AE22" s="11">
        <v>15593</v>
      </c>
      <c r="AF22" s="11">
        <v>19039</v>
      </c>
      <c r="AG22" s="11">
        <v>16221</v>
      </c>
      <c r="AH22" s="11">
        <v>16336</v>
      </c>
      <c r="AI22" s="11">
        <v>12818</v>
      </c>
      <c r="AJ22" s="11">
        <v>8622</v>
      </c>
      <c r="AK22" s="11">
        <v>6862</v>
      </c>
      <c r="AL22" s="11">
        <v>5741</v>
      </c>
      <c r="AM22" s="11">
        <v>3069</v>
      </c>
      <c r="AN22" s="11">
        <v>1094</v>
      </c>
      <c r="AO22" s="10">
        <v>232</v>
      </c>
      <c r="AP22" s="14">
        <v>40</v>
      </c>
      <c r="AQ22" s="11">
        <v>14634</v>
      </c>
      <c r="AR22" s="10">
        <v>521</v>
      </c>
      <c r="AS22" s="10">
        <v>777</v>
      </c>
      <c r="AT22" s="10">
        <v>717</v>
      </c>
      <c r="AU22" s="10">
        <v>519</v>
      </c>
      <c r="AV22" s="10">
        <v>987</v>
      </c>
      <c r="AW22" s="11">
        <v>1405</v>
      </c>
      <c r="AX22" s="11">
        <v>1755</v>
      </c>
      <c r="AY22" s="11">
        <v>1840</v>
      </c>
      <c r="AZ22" s="11">
        <v>1743</v>
      </c>
      <c r="BA22" s="11">
        <v>1280</v>
      </c>
      <c r="BB22" s="11">
        <v>1191</v>
      </c>
      <c r="BC22" s="10">
        <v>829</v>
      </c>
      <c r="BD22" s="10">
        <v>511</v>
      </c>
      <c r="BE22" s="10">
        <v>275</v>
      </c>
      <c r="BF22" s="10">
        <v>156</v>
      </c>
      <c r="BG22" s="10">
        <v>73</v>
      </c>
      <c r="BH22" s="10">
        <v>35</v>
      </c>
      <c r="BI22" s="10">
        <v>11</v>
      </c>
      <c r="BJ22" s="10">
        <v>3</v>
      </c>
      <c r="BK22" s="10">
        <v>5</v>
      </c>
      <c r="BL22" s="1">
        <v>1</v>
      </c>
      <c r="BM22" s="11">
        <v>2531</v>
      </c>
      <c r="BN22" s="15">
        <v>1078</v>
      </c>
      <c r="BO22" s="16">
        <v>23</v>
      </c>
      <c r="BP22" s="22">
        <v>1</v>
      </c>
      <c r="BQ22" s="18">
        <v>0</v>
      </c>
      <c r="BR22" s="21">
        <v>78</v>
      </c>
      <c r="BS22" s="21">
        <v>4</v>
      </c>
      <c r="BT22" s="21">
        <v>1108</v>
      </c>
      <c r="BU22" s="21">
        <v>145</v>
      </c>
      <c r="BV22" s="21">
        <v>0</v>
      </c>
      <c r="BW22" s="21">
        <v>0</v>
      </c>
      <c r="BX22" s="21">
        <v>0</v>
      </c>
      <c r="BY22" s="21">
        <v>163</v>
      </c>
      <c r="BZ22" s="18">
        <v>0</v>
      </c>
      <c r="CA22" s="18">
        <v>0</v>
      </c>
      <c r="CB22" s="18">
        <v>0</v>
      </c>
      <c r="CC22" s="20">
        <v>0</v>
      </c>
      <c r="CD22" s="12">
        <v>9998</v>
      </c>
      <c r="CE22" s="20">
        <v>7838</v>
      </c>
      <c r="CF22" s="21">
        <v>35</v>
      </c>
      <c r="CG22" s="21">
        <v>69</v>
      </c>
      <c r="CH22" s="21">
        <v>1</v>
      </c>
      <c r="CI22" s="21">
        <v>96</v>
      </c>
      <c r="CJ22" s="21">
        <v>323</v>
      </c>
      <c r="CK22" s="21">
        <v>0</v>
      </c>
      <c r="CL22" s="21">
        <v>94</v>
      </c>
      <c r="CM22" s="20">
        <v>0</v>
      </c>
      <c r="CN22" s="21">
        <v>347</v>
      </c>
      <c r="CO22" s="20">
        <v>8</v>
      </c>
    </row>
    <row r="23" spans="1:93" ht="15.75" customHeight="1" x14ac:dyDescent="0.25">
      <c r="A23" s="9" t="s">
        <v>93</v>
      </c>
      <c r="B23" s="10">
        <v>4</v>
      </c>
      <c r="C23" s="10">
        <v>4</v>
      </c>
      <c r="D23" s="10">
        <v>5</v>
      </c>
      <c r="E23" s="10">
        <v>4</v>
      </c>
      <c r="F23" s="10">
        <v>176</v>
      </c>
      <c r="G23" s="10">
        <v>146</v>
      </c>
      <c r="H23" s="10">
        <v>1497</v>
      </c>
      <c r="I23" s="10">
        <v>946</v>
      </c>
      <c r="J23" s="10">
        <v>1805</v>
      </c>
      <c r="K23" s="1">
        <v>1558</v>
      </c>
      <c r="L23" s="11">
        <v>470602</v>
      </c>
      <c r="M23" s="10">
        <v>29.71</v>
      </c>
      <c r="N23" s="12">
        <v>15838</v>
      </c>
      <c r="O23" s="11">
        <v>222592</v>
      </c>
      <c r="P23" s="13">
        <v>244154</v>
      </c>
      <c r="Q23" s="11">
        <v>1571</v>
      </c>
      <c r="R23" s="13">
        <v>2285</v>
      </c>
      <c r="S23" s="14">
        <v>2.1800000000000002</v>
      </c>
      <c r="T23" s="12">
        <v>89650</v>
      </c>
      <c r="U23" s="11">
        <v>466746</v>
      </c>
      <c r="V23" s="11">
        <v>10822</v>
      </c>
      <c r="W23" s="11">
        <v>14951</v>
      </c>
      <c r="X23" s="11">
        <v>17208</v>
      </c>
      <c r="Y23" s="11">
        <v>19263</v>
      </c>
      <c r="Z23" s="11">
        <v>26614</v>
      </c>
      <c r="AA23" s="11">
        <v>36413</v>
      </c>
      <c r="AB23" s="11">
        <v>34559</v>
      </c>
      <c r="AC23" s="11">
        <v>31384</v>
      </c>
      <c r="AD23" s="11">
        <v>35613</v>
      </c>
      <c r="AE23" s="11">
        <v>36324</v>
      </c>
      <c r="AF23" s="11">
        <v>41253</v>
      </c>
      <c r="AG23" s="11">
        <v>35415</v>
      </c>
      <c r="AH23" s="11">
        <v>37505</v>
      </c>
      <c r="AI23" s="11">
        <v>29995</v>
      </c>
      <c r="AJ23" s="11">
        <v>21675</v>
      </c>
      <c r="AK23" s="11">
        <v>16994</v>
      </c>
      <c r="AL23" s="11">
        <v>12789</v>
      </c>
      <c r="AM23" s="11">
        <v>5856</v>
      </c>
      <c r="AN23" s="11">
        <v>1695</v>
      </c>
      <c r="AO23" s="10">
        <v>371</v>
      </c>
      <c r="AP23" s="14">
        <v>47</v>
      </c>
      <c r="AQ23" s="11">
        <v>3856</v>
      </c>
      <c r="AR23" s="10">
        <v>82</v>
      </c>
      <c r="AS23" s="10">
        <v>84</v>
      </c>
      <c r="AT23" s="10">
        <v>72</v>
      </c>
      <c r="AU23" s="10">
        <v>110</v>
      </c>
      <c r="AV23" s="10">
        <v>256</v>
      </c>
      <c r="AW23" s="10">
        <v>464</v>
      </c>
      <c r="AX23" s="10">
        <v>520</v>
      </c>
      <c r="AY23" s="10">
        <v>502</v>
      </c>
      <c r="AZ23" s="10">
        <v>405</v>
      </c>
      <c r="BA23" s="10">
        <v>268</v>
      </c>
      <c r="BB23" s="10">
        <v>329</v>
      </c>
      <c r="BC23" s="10">
        <v>334</v>
      </c>
      <c r="BD23" s="10">
        <v>202</v>
      </c>
      <c r="BE23" s="10">
        <v>116</v>
      </c>
      <c r="BF23" s="10">
        <v>50</v>
      </c>
      <c r="BG23" s="10">
        <v>26</v>
      </c>
      <c r="BH23" s="10">
        <v>23</v>
      </c>
      <c r="BI23" s="10">
        <v>8</v>
      </c>
      <c r="BJ23" s="10">
        <v>3</v>
      </c>
      <c r="BK23" s="10">
        <v>2</v>
      </c>
      <c r="BL23" s="1">
        <v>0</v>
      </c>
      <c r="BM23" s="11">
        <v>4103</v>
      </c>
      <c r="BN23" s="15">
        <v>4116</v>
      </c>
      <c r="BO23" s="16">
        <v>27</v>
      </c>
      <c r="BP23" s="22">
        <v>1</v>
      </c>
      <c r="BQ23" s="18">
        <v>0</v>
      </c>
      <c r="BR23" s="21">
        <v>419</v>
      </c>
      <c r="BS23" s="21">
        <v>0</v>
      </c>
      <c r="BT23" s="21">
        <v>2263</v>
      </c>
      <c r="BU23" s="21">
        <v>6</v>
      </c>
      <c r="BV23" s="21">
        <v>0</v>
      </c>
      <c r="BW23" s="21">
        <v>83</v>
      </c>
      <c r="BX23" s="21">
        <v>5</v>
      </c>
      <c r="BY23" s="21">
        <v>705</v>
      </c>
      <c r="BZ23" s="18">
        <v>0</v>
      </c>
      <c r="CA23" s="18">
        <v>54</v>
      </c>
      <c r="CB23" s="18">
        <v>0</v>
      </c>
      <c r="CC23" s="20">
        <v>0</v>
      </c>
      <c r="CD23" s="12">
        <v>9814</v>
      </c>
      <c r="CE23" s="20">
        <v>6275</v>
      </c>
      <c r="CF23" s="21">
        <v>14</v>
      </c>
      <c r="CG23" s="21">
        <v>130</v>
      </c>
      <c r="CH23" s="21">
        <v>1</v>
      </c>
      <c r="CI23" s="21">
        <v>42</v>
      </c>
      <c r="CJ23" s="21">
        <v>156</v>
      </c>
      <c r="CK23" s="21">
        <v>0</v>
      </c>
      <c r="CL23" s="21">
        <v>45</v>
      </c>
      <c r="CM23" s="20">
        <v>1</v>
      </c>
      <c r="CN23" s="21">
        <v>202</v>
      </c>
      <c r="CO23" s="20">
        <v>14</v>
      </c>
    </row>
    <row r="24" spans="1:93" ht="15.75" customHeight="1" x14ac:dyDescent="0.25">
      <c r="A24" s="9" t="s">
        <v>94</v>
      </c>
      <c r="B24" s="10">
        <v>2</v>
      </c>
      <c r="C24" s="10">
        <v>3</v>
      </c>
      <c r="D24" s="10">
        <v>8</v>
      </c>
      <c r="E24" s="10">
        <v>8</v>
      </c>
      <c r="F24" s="10">
        <v>228</v>
      </c>
      <c r="G24" s="10">
        <v>988</v>
      </c>
      <c r="H24" s="10">
        <v>1313</v>
      </c>
      <c r="I24" s="10">
        <v>932</v>
      </c>
      <c r="J24" s="10">
        <v>1587</v>
      </c>
      <c r="K24" s="1">
        <v>1353</v>
      </c>
      <c r="L24" s="11">
        <v>152211</v>
      </c>
      <c r="M24" s="10">
        <v>23.91</v>
      </c>
      <c r="N24" s="12">
        <v>6365</v>
      </c>
      <c r="O24" s="11">
        <v>68395</v>
      </c>
      <c r="P24" s="13">
        <v>72984</v>
      </c>
      <c r="Q24" s="11">
        <v>4585</v>
      </c>
      <c r="R24" s="13">
        <v>6247</v>
      </c>
      <c r="S24" s="14">
        <v>1.95</v>
      </c>
      <c r="T24" s="12">
        <v>27958</v>
      </c>
      <c r="U24" s="11">
        <v>141379</v>
      </c>
      <c r="V24" s="11">
        <v>2512</v>
      </c>
      <c r="W24" s="11">
        <v>3891</v>
      </c>
      <c r="X24" s="11">
        <v>4718</v>
      </c>
      <c r="Y24" s="11">
        <v>5369</v>
      </c>
      <c r="Z24" s="11">
        <v>9563</v>
      </c>
      <c r="AA24" s="11">
        <v>12721</v>
      </c>
      <c r="AB24" s="11">
        <v>10553</v>
      </c>
      <c r="AC24" s="11">
        <v>8789</v>
      </c>
      <c r="AD24" s="11">
        <v>9812</v>
      </c>
      <c r="AE24" s="11">
        <v>10132</v>
      </c>
      <c r="AF24" s="11">
        <v>12745</v>
      </c>
      <c r="AG24" s="11">
        <v>11471</v>
      </c>
      <c r="AH24" s="11">
        <v>11399</v>
      </c>
      <c r="AI24" s="11">
        <v>8902</v>
      </c>
      <c r="AJ24" s="11">
        <v>6184</v>
      </c>
      <c r="AK24" s="11">
        <v>5220</v>
      </c>
      <c r="AL24" s="11">
        <v>4345</v>
      </c>
      <c r="AM24" s="11">
        <v>2109</v>
      </c>
      <c r="AN24" s="10">
        <v>725</v>
      </c>
      <c r="AO24" s="10">
        <v>190</v>
      </c>
      <c r="AP24" s="14">
        <v>29</v>
      </c>
      <c r="AQ24" s="11">
        <v>10832</v>
      </c>
      <c r="AR24" s="10">
        <v>182</v>
      </c>
      <c r="AS24" s="10">
        <v>209</v>
      </c>
      <c r="AT24" s="10">
        <v>212</v>
      </c>
      <c r="AU24" s="10">
        <v>579</v>
      </c>
      <c r="AV24" s="11">
        <v>3525</v>
      </c>
      <c r="AW24" s="11">
        <v>1826</v>
      </c>
      <c r="AX24" s="10">
        <v>866</v>
      </c>
      <c r="AY24" s="10">
        <v>764</v>
      </c>
      <c r="AZ24" s="10">
        <v>665</v>
      </c>
      <c r="BA24" s="10">
        <v>519</v>
      </c>
      <c r="BB24" s="10">
        <v>485</v>
      </c>
      <c r="BC24" s="10">
        <v>457</v>
      </c>
      <c r="BD24" s="10">
        <v>289</v>
      </c>
      <c r="BE24" s="10">
        <v>145</v>
      </c>
      <c r="BF24" s="10">
        <v>67</v>
      </c>
      <c r="BG24" s="10">
        <v>17</v>
      </c>
      <c r="BH24" s="10">
        <v>13</v>
      </c>
      <c r="BI24" s="10">
        <v>8</v>
      </c>
      <c r="BJ24" s="10">
        <v>4</v>
      </c>
      <c r="BK24" s="10">
        <v>0</v>
      </c>
      <c r="BL24" s="1">
        <v>0</v>
      </c>
      <c r="BM24" s="11">
        <v>1812</v>
      </c>
      <c r="BN24" s="15">
        <v>1930</v>
      </c>
      <c r="BO24" s="16">
        <v>25</v>
      </c>
      <c r="BP24" s="22">
        <v>4</v>
      </c>
      <c r="BQ24" s="18">
        <v>0</v>
      </c>
      <c r="BR24" s="21">
        <v>0</v>
      </c>
      <c r="BS24" s="21">
        <v>0</v>
      </c>
      <c r="BT24" s="21">
        <v>1648</v>
      </c>
      <c r="BU24" s="21">
        <v>0</v>
      </c>
      <c r="BV24" s="21">
        <v>0</v>
      </c>
      <c r="BW24" s="21">
        <v>0</v>
      </c>
      <c r="BX24" s="21">
        <v>0</v>
      </c>
      <c r="BY24" s="21">
        <v>0</v>
      </c>
      <c r="BZ24" s="18">
        <v>0</v>
      </c>
      <c r="CA24" s="18">
        <v>0</v>
      </c>
      <c r="CB24" s="18">
        <v>0</v>
      </c>
      <c r="CC24" s="20">
        <v>0</v>
      </c>
      <c r="CD24" s="12">
        <v>8723</v>
      </c>
      <c r="CE24" s="20">
        <v>7947</v>
      </c>
      <c r="CF24" s="21">
        <v>43</v>
      </c>
      <c r="CG24" s="21">
        <v>89</v>
      </c>
      <c r="CH24" s="21">
        <v>0</v>
      </c>
      <c r="CI24" s="21">
        <v>65</v>
      </c>
      <c r="CJ24" s="21">
        <v>245</v>
      </c>
      <c r="CK24" s="21">
        <v>0</v>
      </c>
      <c r="CL24" s="21">
        <v>64</v>
      </c>
      <c r="CM24" s="20">
        <v>0</v>
      </c>
      <c r="CN24" s="21">
        <v>3053</v>
      </c>
      <c r="CO24" s="20">
        <v>10</v>
      </c>
    </row>
    <row r="25" spans="1:93" ht="15.75" customHeight="1" x14ac:dyDescent="0.25">
      <c r="A25" s="9" t="s">
        <v>95</v>
      </c>
      <c r="B25" s="10">
        <v>1</v>
      </c>
      <c r="C25" s="10">
        <v>2</v>
      </c>
      <c r="D25" s="10">
        <v>5</v>
      </c>
      <c r="E25" s="10">
        <v>4</v>
      </c>
      <c r="F25" s="10">
        <v>194</v>
      </c>
      <c r="G25" s="10">
        <v>123</v>
      </c>
      <c r="H25" s="10">
        <v>1365</v>
      </c>
      <c r="I25" s="10">
        <v>724</v>
      </c>
      <c r="J25" s="10">
        <v>1506</v>
      </c>
      <c r="K25" s="1">
        <v>1266</v>
      </c>
      <c r="L25" s="11">
        <v>130785</v>
      </c>
      <c r="M25" s="10">
        <v>9.9600000000000009</v>
      </c>
      <c r="N25" s="12">
        <v>13131</v>
      </c>
      <c r="O25" s="11">
        <v>58563</v>
      </c>
      <c r="P25" s="13">
        <v>61874</v>
      </c>
      <c r="Q25" s="11">
        <v>4814</v>
      </c>
      <c r="R25" s="13">
        <v>5534</v>
      </c>
      <c r="S25" s="14">
        <v>1.91</v>
      </c>
      <c r="T25" s="12">
        <v>25055</v>
      </c>
      <c r="U25" s="11">
        <v>120437</v>
      </c>
      <c r="V25" s="11">
        <v>2789</v>
      </c>
      <c r="W25" s="11">
        <v>3175</v>
      </c>
      <c r="X25" s="11">
        <v>2937</v>
      </c>
      <c r="Y25" s="11">
        <v>3385</v>
      </c>
      <c r="Z25" s="11">
        <v>6934</v>
      </c>
      <c r="AA25" s="11">
        <v>10685</v>
      </c>
      <c r="AB25" s="11">
        <v>10746</v>
      </c>
      <c r="AC25" s="11">
        <v>9115</v>
      </c>
      <c r="AD25" s="11">
        <v>8801</v>
      </c>
      <c r="AE25" s="11">
        <v>7967</v>
      </c>
      <c r="AF25" s="11">
        <v>10031</v>
      </c>
      <c r="AG25" s="11">
        <v>9365</v>
      </c>
      <c r="AH25" s="11">
        <v>9847</v>
      </c>
      <c r="AI25" s="11">
        <v>8184</v>
      </c>
      <c r="AJ25" s="11">
        <v>5708</v>
      </c>
      <c r="AK25" s="11">
        <v>4553</v>
      </c>
      <c r="AL25" s="11">
        <v>3591</v>
      </c>
      <c r="AM25" s="11">
        <v>1773</v>
      </c>
      <c r="AN25" s="10">
        <v>666</v>
      </c>
      <c r="AO25" s="10">
        <v>157</v>
      </c>
      <c r="AP25" s="14">
        <v>28</v>
      </c>
      <c r="AQ25" s="11">
        <v>10348</v>
      </c>
      <c r="AR25" s="10">
        <v>222</v>
      </c>
      <c r="AS25" s="10">
        <v>279</v>
      </c>
      <c r="AT25" s="10">
        <v>229</v>
      </c>
      <c r="AU25" s="10">
        <v>400</v>
      </c>
      <c r="AV25" s="11">
        <v>2113</v>
      </c>
      <c r="AW25" s="11">
        <v>1680</v>
      </c>
      <c r="AX25" s="11">
        <v>1044</v>
      </c>
      <c r="AY25" s="10">
        <v>931</v>
      </c>
      <c r="AZ25" s="10">
        <v>727</v>
      </c>
      <c r="BA25" s="10">
        <v>619</v>
      </c>
      <c r="BB25" s="10">
        <v>647</v>
      </c>
      <c r="BC25" s="10">
        <v>658</v>
      </c>
      <c r="BD25" s="10">
        <v>404</v>
      </c>
      <c r="BE25" s="10">
        <v>217</v>
      </c>
      <c r="BF25" s="10">
        <v>101</v>
      </c>
      <c r="BG25" s="10">
        <v>34</v>
      </c>
      <c r="BH25" s="10">
        <v>26</v>
      </c>
      <c r="BI25" s="10">
        <v>11</v>
      </c>
      <c r="BJ25" s="10">
        <v>4</v>
      </c>
      <c r="BK25" s="10">
        <v>0</v>
      </c>
      <c r="BL25" s="1">
        <v>2</v>
      </c>
      <c r="BM25" s="11">
        <v>2026</v>
      </c>
      <c r="BN25" s="15">
        <v>2336</v>
      </c>
      <c r="BO25" s="16">
        <v>25</v>
      </c>
      <c r="BP25" s="22">
        <v>0</v>
      </c>
      <c r="BQ25" s="18">
        <v>0</v>
      </c>
      <c r="BR25" s="21">
        <v>0</v>
      </c>
      <c r="BS25" s="21">
        <v>0</v>
      </c>
      <c r="BT25" s="21">
        <v>2314</v>
      </c>
      <c r="BU25" s="21">
        <v>0</v>
      </c>
      <c r="BV25" s="21">
        <v>0</v>
      </c>
      <c r="BW25" s="21">
        <v>0</v>
      </c>
      <c r="BX25" s="21">
        <v>0</v>
      </c>
      <c r="BY25" s="21">
        <v>0</v>
      </c>
      <c r="BZ25" s="18">
        <v>0</v>
      </c>
      <c r="CA25" s="18">
        <v>0</v>
      </c>
      <c r="CB25" s="18">
        <v>0</v>
      </c>
      <c r="CC25" s="20">
        <v>0</v>
      </c>
      <c r="CD25" s="12">
        <v>6068</v>
      </c>
      <c r="CE25" s="20">
        <v>8619</v>
      </c>
      <c r="CF25" s="21">
        <v>37</v>
      </c>
      <c r="CG25" s="21">
        <v>120</v>
      </c>
      <c r="CH25" s="21">
        <v>0</v>
      </c>
      <c r="CI25" s="21">
        <v>46</v>
      </c>
      <c r="CJ25" s="21">
        <v>199</v>
      </c>
      <c r="CK25" s="21">
        <v>0</v>
      </c>
      <c r="CL25" s="21">
        <v>62</v>
      </c>
      <c r="CM25" s="20">
        <v>1</v>
      </c>
      <c r="CN25" s="21">
        <v>997</v>
      </c>
      <c r="CO25" s="20">
        <v>8</v>
      </c>
    </row>
    <row r="26" spans="1:93" ht="12.5" x14ac:dyDescent="0.25">
      <c r="A26" s="9" t="s">
        <v>96</v>
      </c>
      <c r="B26" s="10">
        <v>2</v>
      </c>
      <c r="C26" s="10">
        <v>2</v>
      </c>
      <c r="D26" s="10">
        <v>2</v>
      </c>
      <c r="E26" s="10">
        <v>2</v>
      </c>
      <c r="F26" s="10">
        <v>150</v>
      </c>
      <c r="G26" s="10">
        <v>121</v>
      </c>
      <c r="H26" s="10">
        <v>1508</v>
      </c>
      <c r="I26" s="10">
        <v>882</v>
      </c>
      <c r="J26" s="10">
        <v>1937</v>
      </c>
      <c r="K26" s="1">
        <v>1664</v>
      </c>
      <c r="L26" s="11">
        <v>390140</v>
      </c>
      <c r="M26" s="10">
        <v>18.5</v>
      </c>
      <c r="N26" s="12">
        <v>21092</v>
      </c>
      <c r="O26" s="11">
        <v>189537</v>
      </c>
      <c r="P26" s="13">
        <v>195781</v>
      </c>
      <c r="Q26" s="11">
        <v>1885</v>
      </c>
      <c r="R26" s="13">
        <v>2937</v>
      </c>
      <c r="S26" s="14">
        <v>2.06</v>
      </c>
      <c r="T26" s="12">
        <v>74920</v>
      </c>
      <c r="U26" s="11">
        <v>385318</v>
      </c>
      <c r="V26" s="11">
        <v>9108</v>
      </c>
      <c r="W26" s="11">
        <v>11234</v>
      </c>
      <c r="X26" s="11">
        <v>11846</v>
      </c>
      <c r="Y26" s="11">
        <v>12997</v>
      </c>
      <c r="Z26" s="11">
        <v>20715</v>
      </c>
      <c r="AA26" s="11">
        <v>31563</v>
      </c>
      <c r="AB26" s="11">
        <v>31058</v>
      </c>
      <c r="AC26" s="11">
        <v>26664</v>
      </c>
      <c r="AD26" s="11">
        <v>28158</v>
      </c>
      <c r="AE26" s="11">
        <v>26558</v>
      </c>
      <c r="AF26" s="11">
        <v>33250</v>
      </c>
      <c r="AG26" s="11">
        <v>32506</v>
      </c>
      <c r="AH26" s="11">
        <v>34871</v>
      </c>
      <c r="AI26" s="11">
        <v>27070</v>
      </c>
      <c r="AJ26" s="11">
        <v>18424</v>
      </c>
      <c r="AK26" s="11">
        <v>13591</v>
      </c>
      <c r="AL26" s="11">
        <v>9773</v>
      </c>
      <c r="AM26" s="11">
        <v>4202</v>
      </c>
      <c r="AN26" s="11">
        <v>1358</v>
      </c>
      <c r="AO26" s="10">
        <v>321</v>
      </c>
      <c r="AP26" s="14">
        <v>51</v>
      </c>
      <c r="AQ26" s="11">
        <v>4822</v>
      </c>
      <c r="AR26" s="10">
        <v>191</v>
      </c>
      <c r="AS26" s="10">
        <v>148</v>
      </c>
      <c r="AT26" s="10">
        <v>115</v>
      </c>
      <c r="AU26" s="10">
        <v>126</v>
      </c>
      <c r="AV26" s="10">
        <v>524</v>
      </c>
      <c r="AW26" s="10">
        <v>686</v>
      </c>
      <c r="AX26" s="10">
        <v>673</v>
      </c>
      <c r="AY26" s="10">
        <v>545</v>
      </c>
      <c r="AZ26" s="10">
        <v>361</v>
      </c>
      <c r="BA26" s="10">
        <v>314</v>
      </c>
      <c r="BB26" s="10">
        <v>414</v>
      </c>
      <c r="BC26" s="10">
        <v>388</v>
      </c>
      <c r="BD26" s="10">
        <v>207</v>
      </c>
      <c r="BE26" s="10">
        <v>79</v>
      </c>
      <c r="BF26" s="10">
        <v>37</v>
      </c>
      <c r="BG26" s="10">
        <v>7</v>
      </c>
      <c r="BH26" s="10">
        <v>2</v>
      </c>
      <c r="BI26" s="10">
        <v>2</v>
      </c>
      <c r="BJ26" s="10">
        <v>3</v>
      </c>
      <c r="BK26" s="10">
        <v>0</v>
      </c>
      <c r="BL26" s="1">
        <v>0</v>
      </c>
      <c r="BM26" s="11">
        <v>3856</v>
      </c>
      <c r="BN26" s="23">
        <v>3471</v>
      </c>
      <c r="BO26" s="24">
        <v>28</v>
      </c>
      <c r="BP26" s="22">
        <v>2</v>
      </c>
      <c r="BQ26" s="18">
        <v>56</v>
      </c>
      <c r="BR26" s="21">
        <v>270</v>
      </c>
      <c r="BS26" s="21">
        <v>0</v>
      </c>
      <c r="BT26" s="21">
        <v>3329</v>
      </c>
      <c r="BU26" s="21">
        <v>82</v>
      </c>
      <c r="BV26" s="21">
        <v>0</v>
      </c>
      <c r="BW26" s="21">
        <v>0</v>
      </c>
      <c r="BX26" s="21">
        <v>9</v>
      </c>
      <c r="BY26" s="21">
        <v>0</v>
      </c>
      <c r="BZ26" s="18">
        <v>0</v>
      </c>
      <c r="CA26" s="18">
        <v>0</v>
      </c>
      <c r="CB26" s="18">
        <v>2</v>
      </c>
      <c r="CC26" s="20">
        <v>0</v>
      </c>
      <c r="CD26" s="12">
        <v>9330</v>
      </c>
      <c r="CE26" s="20">
        <v>6877</v>
      </c>
      <c r="CF26" s="21">
        <v>47</v>
      </c>
      <c r="CG26" s="21">
        <v>149</v>
      </c>
      <c r="CH26" s="21">
        <v>17</v>
      </c>
      <c r="CI26" s="21">
        <v>46</v>
      </c>
      <c r="CJ26" s="21">
        <v>256</v>
      </c>
      <c r="CK26" s="21">
        <v>1</v>
      </c>
      <c r="CL26" s="21">
        <v>58</v>
      </c>
      <c r="CM26" s="20">
        <v>5</v>
      </c>
      <c r="CN26" s="21">
        <v>8373</v>
      </c>
      <c r="CO26" s="20">
        <v>12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0"/>
  <sheetViews>
    <sheetView workbookViewId="0"/>
  </sheetViews>
  <sheetFormatPr defaultColWidth="12.6328125" defaultRowHeight="15.75" customHeight="1" x14ac:dyDescent="0.25"/>
  <sheetData>
    <row r="1" spans="1:26" x14ac:dyDescent="0.3">
      <c r="A1" s="25" t="s">
        <v>97</v>
      </c>
      <c r="B1" s="26" t="s">
        <v>98</v>
      </c>
      <c r="C1" s="26" t="s">
        <v>99</v>
      </c>
      <c r="D1" s="27"/>
      <c r="E1" s="25" t="s">
        <v>100</v>
      </c>
      <c r="F1" s="26" t="s">
        <v>101</v>
      </c>
      <c r="G1" s="28"/>
      <c r="H1" s="28"/>
      <c r="I1" s="27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 customHeight="1" x14ac:dyDescent="0.25">
      <c r="A2" s="30"/>
      <c r="B2" s="31" t="s">
        <v>102</v>
      </c>
      <c r="C2" s="31" t="s">
        <v>103</v>
      </c>
      <c r="D2" s="32"/>
      <c r="E2" s="30"/>
      <c r="F2" s="29"/>
      <c r="G2" s="29"/>
      <c r="H2" s="29"/>
      <c r="I2" s="32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.75" customHeight="1" x14ac:dyDescent="0.25">
      <c r="A3" s="33"/>
      <c r="B3" s="34" t="s">
        <v>104</v>
      </c>
      <c r="C3" s="34" t="s">
        <v>105</v>
      </c>
      <c r="D3" s="35"/>
      <c r="E3" s="33"/>
      <c r="F3" s="36"/>
      <c r="G3" s="36"/>
      <c r="H3" s="36"/>
      <c r="I3" s="35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.75" customHeight="1" x14ac:dyDescent="0.25">
      <c r="A4" s="37" t="s">
        <v>106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.75" customHeight="1" x14ac:dyDescent="0.25">
      <c r="A5" s="38" t="s">
        <v>107</v>
      </c>
      <c r="B5" s="39" t="str">
        <f>전체!B1</f>
        <v>살인(발생)</v>
      </c>
      <c r="C5" s="39" t="str">
        <f>전체!C1</f>
        <v>살인(검거)</v>
      </c>
      <c r="D5" s="39" t="str">
        <f>전체!D1</f>
        <v>강도(발생)</v>
      </c>
      <c r="E5" s="39" t="str">
        <f>전체!E1</f>
        <v>강도(검거)</v>
      </c>
      <c r="F5" s="39" t="str">
        <f>전체!F1</f>
        <v>강간·강제추행(발생)</v>
      </c>
      <c r="G5" s="39" t="str">
        <f>전체!G1</f>
        <v>강간·강제추행(검거)</v>
      </c>
      <c r="H5" s="39" t="str">
        <f>전체!H1</f>
        <v>절도(발생)</v>
      </c>
      <c r="I5" s="39" t="str">
        <f>전체!I1</f>
        <v>절도(검거)</v>
      </c>
      <c r="J5" s="39" t="str">
        <f>전체!J1</f>
        <v>폭력(발생)</v>
      </c>
      <c r="K5" s="39" t="str">
        <f>전체!K1</f>
        <v>폭력(검거)</v>
      </c>
      <c r="L5" s="39" t="str">
        <f>전체!L1</f>
        <v>인구 [명]</v>
      </c>
      <c r="M5" s="39" t="str">
        <f>전체!M1</f>
        <v>면적 [㎢]</v>
      </c>
      <c r="N5" s="39" t="str">
        <f>전체!N1</f>
        <v>인구밀도 [명/㎢]</v>
      </c>
      <c r="O5" s="39" t="str">
        <f>전체!O1</f>
        <v>남자(한국인) [명]</v>
      </c>
      <c r="P5" s="39" t="str">
        <f>전체!P1</f>
        <v>여자(한국인) [명]</v>
      </c>
      <c r="Q5" s="39" t="str">
        <f>전체!Q1</f>
        <v>남자(외국인) [명]</v>
      </c>
      <c r="R5" s="39" t="str">
        <f>전체!R1</f>
        <v>여자(외국인) [명]</v>
      </c>
      <c r="S5" s="39" t="str">
        <f>전체!S1</f>
        <v>서대당 인구 [명]</v>
      </c>
      <c r="T5" s="39" t="str">
        <f>전체!T1</f>
        <v>65세이상고령자 [명]</v>
      </c>
      <c r="U5" s="39" t="str">
        <f>전체!U1</f>
        <v>한국인 합계</v>
      </c>
      <c r="V5" s="39" t="str">
        <f>전체!V1</f>
        <v>0~4세</v>
      </c>
      <c r="W5" s="39" t="str">
        <f>전체!W1</f>
        <v>5~9세</v>
      </c>
      <c r="X5" s="39" t="str">
        <f>전체!X1</f>
        <v>10~14세</v>
      </c>
      <c r="Y5" s="39" t="str">
        <f>전체!Y1</f>
        <v>15~19세</v>
      </c>
      <c r="Z5" s="39" t="str">
        <f>전체!Z1</f>
        <v>20~24세</v>
      </c>
    </row>
    <row r="6" spans="1:26" ht="15.75" customHeight="1" x14ac:dyDescent="0.25">
      <c r="A6" s="31" t="s">
        <v>108</v>
      </c>
      <c r="B6" s="31">
        <v>2022</v>
      </c>
      <c r="C6" s="31"/>
      <c r="D6" s="31"/>
      <c r="E6" s="31"/>
      <c r="F6" s="31"/>
      <c r="G6" s="31"/>
      <c r="H6" s="31"/>
      <c r="I6" s="31"/>
      <c r="J6" s="31"/>
      <c r="K6" s="31"/>
      <c r="L6" s="31">
        <v>2022</v>
      </c>
      <c r="M6" s="31"/>
      <c r="N6" s="31"/>
      <c r="O6" s="31">
        <v>2022</v>
      </c>
      <c r="P6" s="31"/>
      <c r="Q6" s="31"/>
      <c r="R6" s="31"/>
      <c r="S6" s="31"/>
      <c r="T6" s="31"/>
      <c r="U6" s="29"/>
      <c r="V6" s="29"/>
      <c r="W6" s="29"/>
      <c r="X6" s="29"/>
      <c r="Y6" s="29"/>
      <c r="Z6" s="29"/>
    </row>
    <row r="7" spans="1:26" ht="15.75" customHeight="1" x14ac:dyDescent="0.25">
      <c r="A7" s="31" t="s">
        <v>109</v>
      </c>
      <c r="B7" s="31" t="s">
        <v>110</v>
      </c>
      <c r="C7" s="31"/>
      <c r="D7" s="31"/>
      <c r="E7" s="31"/>
      <c r="F7" s="31"/>
      <c r="G7" s="31"/>
      <c r="H7" s="31"/>
      <c r="I7" s="31"/>
      <c r="J7" s="31"/>
      <c r="K7" s="31"/>
      <c r="L7" s="31" t="s">
        <v>111</v>
      </c>
      <c r="M7" s="31"/>
      <c r="N7" s="31"/>
      <c r="O7" s="31" t="s">
        <v>112</v>
      </c>
      <c r="P7" s="31"/>
      <c r="Q7" s="31"/>
      <c r="R7" s="31"/>
      <c r="S7" s="31"/>
      <c r="T7" s="31"/>
      <c r="U7" s="29"/>
      <c r="V7" s="29"/>
      <c r="W7" s="29"/>
      <c r="X7" s="29"/>
      <c r="Y7" s="29"/>
      <c r="Z7" s="29"/>
    </row>
    <row r="8" spans="1:26" ht="15.75" customHeight="1" x14ac:dyDescent="0.25">
      <c r="A8" s="37" t="s">
        <v>113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.75" customHeight="1" x14ac:dyDescent="0.25">
      <c r="A9" s="38" t="s">
        <v>107</v>
      </c>
      <c r="B9" s="39" t="str">
        <f>전체!AA1</f>
        <v>25~29세</v>
      </c>
      <c r="C9" s="39" t="str">
        <f>전체!AB1</f>
        <v>30~34세</v>
      </c>
      <c r="D9" s="39" t="str">
        <f>전체!AC1</f>
        <v>35~39세</v>
      </c>
      <c r="E9" s="39" t="str">
        <f>전체!AD1</f>
        <v>40~44세</v>
      </c>
      <c r="F9" s="39" t="str">
        <f>전체!AE1</f>
        <v>45~49세</v>
      </c>
      <c r="G9" s="39" t="str">
        <f>전체!AF1</f>
        <v>50~54세</v>
      </c>
      <c r="H9" s="39" t="str">
        <f>전체!AG1</f>
        <v>55~59세</v>
      </c>
      <c r="I9" s="39" t="str">
        <f>전체!AH1</f>
        <v>60~64세</v>
      </c>
      <c r="J9" s="39" t="str">
        <f>전체!AI1</f>
        <v>65~69세</v>
      </c>
      <c r="K9" s="39" t="str">
        <f>전체!AJ1</f>
        <v>70~74세</v>
      </c>
      <c r="L9" s="39" t="str">
        <f>전체!AK1</f>
        <v>75~79세</v>
      </c>
      <c r="M9" s="39" t="str">
        <f>전체!AL1</f>
        <v>80~84세</v>
      </c>
      <c r="N9" s="39" t="str">
        <f>전체!AM1</f>
        <v>85~89세</v>
      </c>
      <c r="O9" s="39" t="str">
        <f>전체!AN1</f>
        <v>90~94세</v>
      </c>
      <c r="P9" s="39" t="str">
        <f>전체!AO1</f>
        <v>95~99세</v>
      </c>
      <c r="Q9" s="39" t="str">
        <f>전체!AP1</f>
        <v>100세 이상</v>
      </c>
      <c r="R9" s="39" t="str">
        <f>전체!AQ1</f>
        <v>등록 외국인 합계</v>
      </c>
      <c r="S9" s="39" t="str">
        <f>전체!AR1</f>
        <v>0~4세</v>
      </c>
      <c r="T9" s="39" t="str">
        <f>전체!AS1</f>
        <v>5~9세</v>
      </c>
      <c r="U9" s="39" t="str">
        <f>전체!AT1</f>
        <v>10~14세</v>
      </c>
      <c r="V9" s="39" t="str">
        <f>전체!AU1</f>
        <v>15~19세</v>
      </c>
      <c r="W9" s="39" t="str">
        <f>전체!AV1</f>
        <v>20~24세</v>
      </c>
      <c r="X9" s="39" t="str">
        <f>전체!AW1</f>
        <v>25~29세</v>
      </c>
      <c r="Y9" s="39" t="str">
        <f>전체!AX1</f>
        <v>30~34세</v>
      </c>
      <c r="Z9" s="39" t="str">
        <f>전체!AY1</f>
        <v>35~39세</v>
      </c>
    </row>
    <row r="10" spans="1:26" ht="15.75" customHeight="1" x14ac:dyDescent="0.25">
      <c r="A10" s="31" t="s">
        <v>108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5.75" customHeight="1" x14ac:dyDescent="0.25">
      <c r="A11" s="31" t="s">
        <v>109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.75" customHeight="1" x14ac:dyDescent="0.25">
      <c r="A12" s="37" t="s">
        <v>114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.75" customHeight="1" x14ac:dyDescent="0.25">
      <c r="A13" s="38" t="s">
        <v>107</v>
      </c>
      <c r="B13" s="39" t="str">
        <f>전체!BA1</f>
        <v>45~49세</v>
      </c>
      <c r="C13" s="39" t="str">
        <f>전체!BB1</f>
        <v>50~54세</v>
      </c>
      <c r="D13" s="39" t="str">
        <f>전체!BC1</f>
        <v>55~59세</v>
      </c>
      <c r="E13" s="39" t="str">
        <f>전체!BD1</f>
        <v>60~64세</v>
      </c>
      <c r="F13" s="39" t="str">
        <f>전체!BE1</f>
        <v>65~69세</v>
      </c>
      <c r="G13" s="39" t="str">
        <f>전체!BF1</f>
        <v>70~74세</v>
      </c>
      <c r="H13" s="39" t="str">
        <f>전체!BG1</f>
        <v>75~79세</v>
      </c>
      <c r="I13" s="39" t="str">
        <f>전체!BH1</f>
        <v>80~84세</v>
      </c>
      <c r="J13" s="39" t="str">
        <f>전체!BI1</f>
        <v>85~89세</v>
      </c>
      <c r="K13" s="39" t="str">
        <f>전체!BJ1</f>
        <v>90~94세</v>
      </c>
      <c r="L13" s="39" t="str">
        <f>전체!BK1</f>
        <v>95~99세</v>
      </c>
      <c r="M13" s="39" t="str">
        <f>전체!BL1</f>
        <v>100세 이상</v>
      </c>
      <c r="N13" s="39" t="str">
        <f>전체!BM1</f>
        <v>cctv 범죄예방 수사용) [대]</v>
      </c>
      <c r="O13" s="39" t="str">
        <f>전체!BN1</f>
        <v>안심이 cctv 수</v>
      </c>
      <c r="P13" s="39" t="str">
        <f>전체!BO1</f>
        <v>여성안심지키미집</v>
      </c>
      <c r="Q13" s="39" t="str">
        <f>전체!BP1</f>
        <v>안전비상벨</v>
      </c>
      <c r="R13" s="39" t="str">
        <f>전체!BQ1</f>
        <v>고정식</v>
      </c>
      <c r="S13" s="39" t="str">
        <f>전체!BR1</f>
        <v>도심공원</v>
      </c>
      <c r="T13" s="39" t="str">
        <f>전체!BU1</f>
        <v>불법주정차</v>
      </c>
      <c r="U13" s="39" t="str">
        <f>전체!BV1</f>
        <v>산불감시</v>
      </c>
      <c r="V13" s="39" t="str">
        <f>전체!BW1</f>
        <v>시설물 관리</v>
      </c>
      <c r="W13" s="39" t="str">
        <f>전체!BX1</f>
        <v>쓰레기 무단투기</v>
      </c>
      <c r="X13" s="39" t="str">
        <f>전체!BY1</f>
        <v>어린이안전</v>
      </c>
      <c r="Y13" s="39" t="str">
        <f>전체!CC1</f>
        <v>(비어 있음)</v>
      </c>
      <c r="Z13" s="39" t="str">
        <f>전체!CD1</f>
        <v xml:space="preserve">보안등 </v>
      </c>
    </row>
    <row r="14" spans="1:26" ht="15.75" customHeight="1" x14ac:dyDescent="0.25">
      <c r="A14" s="31" t="s">
        <v>108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1">
        <v>2022</v>
      </c>
      <c r="O14" s="31" t="s">
        <v>115</v>
      </c>
      <c r="P14" s="31" t="s">
        <v>116</v>
      </c>
      <c r="Q14" s="31" t="s">
        <v>117</v>
      </c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.75" customHeight="1" x14ac:dyDescent="0.25">
      <c r="A15" s="31" t="s">
        <v>109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31" t="s">
        <v>110</v>
      </c>
      <c r="O15" s="31" t="s">
        <v>118</v>
      </c>
      <c r="P15" s="31" t="s">
        <v>119</v>
      </c>
      <c r="Q15" s="31" t="s">
        <v>118</v>
      </c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.75" customHeight="1" x14ac:dyDescent="0.25">
      <c r="A16" s="37" t="s">
        <v>120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.75" customHeight="1" x14ac:dyDescent="0.25">
      <c r="A17" s="38" t="s">
        <v>107</v>
      </c>
      <c r="B17" s="39" t="str">
        <f>전체!CD1</f>
        <v xml:space="preserve">보안등 </v>
      </c>
      <c r="C17" s="39" t="str">
        <f>전체!CE1</f>
        <v>가로등</v>
      </c>
      <c r="D17" s="39" t="str">
        <f>전체!CF1</f>
        <v>안심벨 (안심귀갓길)</v>
      </c>
      <c r="E17" s="39" t="str">
        <f>전체!CG1</f>
        <v>CCTV (안심귀갓길)</v>
      </c>
      <c r="F17" s="39" t="str">
        <f>전체!CH1</f>
        <v>안내표지판 (전주 표기 포함) (안심귀갓길)</v>
      </c>
      <c r="G17" s="39" t="str">
        <f>전체!CI1</f>
        <v>노면표기 (안심귀갓길)</v>
      </c>
      <c r="H17" s="39" t="str">
        <f>전체!CJ1</f>
        <v>보안등 (안심귀갓길)</v>
      </c>
      <c r="I17" s="39" t="str">
        <f>전체!CK1</f>
        <v>안심귀갓길 서비스 안내판 (안심귀갓길)</v>
      </c>
      <c r="J17" s="39" t="str">
        <f>전체!CL1</f>
        <v>112 위치 신고 안내 (안심귀갓길)</v>
      </c>
      <c r="K17" s="39" t="str">
        <f>전체!CM1</f>
        <v>기타 (안심반사경 등) (안심귀갓길)</v>
      </c>
      <c r="L17" s="39" t="str">
        <f>전체!CN1</f>
        <v xml:space="preserve"> 안심귀가 스카우트 이용수</v>
      </c>
      <c r="M17" s="39" t="str">
        <f>전체!CO1</f>
        <v>안심쉬가 스카우트 인원</v>
      </c>
      <c r="N17" s="39" t="e">
        <f t="shared" ref="N17:O17" si="0">#REF!</f>
        <v>#REF!</v>
      </c>
      <c r="O17" s="39" t="e">
        <f t="shared" si="0"/>
        <v>#REF!</v>
      </c>
      <c r="P17" s="39">
        <f>전체!CP1</f>
        <v>0</v>
      </c>
      <c r="Q17" s="39">
        <f>전체!CQ1</f>
        <v>0</v>
      </c>
      <c r="R17" s="39">
        <f>전체!CR1</f>
        <v>0</v>
      </c>
      <c r="S17" s="39">
        <f>전체!CS1</f>
        <v>0</v>
      </c>
      <c r="T17" s="39">
        <f>전체!CT1</f>
        <v>0</v>
      </c>
      <c r="U17" s="39">
        <f>전체!CU1</f>
        <v>0</v>
      </c>
      <c r="V17" s="39">
        <f>전체!CV1</f>
        <v>0</v>
      </c>
      <c r="W17" s="39">
        <f>전체!CW1</f>
        <v>0</v>
      </c>
      <c r="X17" s="39">
        <f>전체!CX1</f>
        <v>0</v>
      </c>
      <c r="Y17" s="39">
        <f>전체!CY1</f>
        <v>0</v>
      </c>
      <c r="Z17" s="39">
        <f>전체!CZ1</f>
        <v>0</v>
      </c>
    </row>
    <row r="18" spans="1:26" ht="15.75" customHeight="1" x14ac:dyDescent="0.25">
      <c r="A18" s="31" t="s">
        <v>108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.75" customHeight="1" x14ac:dyDescent="0.25">
      <c r="A19" s="31" t="s">
        <v>109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.75" customHeight="1" x14ac:dyDescent="0.25">
      <c r="A20" s="37" t="s">
        <v>121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 x14ac:dyDescent="0.25">
      <c r="A21" s="38" t="s">
        <v>107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5.75" customHeight="1" x14ac:dyDescent="0.25">
      <c r="A22" s="31" t="s">
        <v>108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 x14ac:dyDescent="0.25">
      <c r="A23" s="31" t="s">
        <v>109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 x14ac:dyDescent="0.25">
      <c r="A24" s="3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2.5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2.5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2.5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2.5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2.5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2.5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2.5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2.5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2.5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2.5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2.5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2.5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2.5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2.5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2.5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2.5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2.5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2.5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2.5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2.5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2.5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2.5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2.5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2.5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2.5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2.5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2.5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2.5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2.5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2.5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2.5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2.5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2.5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2.5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2.5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2.5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2.5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2.5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2.5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2.5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2.5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2.5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2.5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2.5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2.5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2.5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2.5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2.5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2.5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2.5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2.5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2.5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2.5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2.5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2.5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4"/>
  <sheetViews>
    <sheetView workbookViewId="0"/>
  </sheetViews>
  <sheetFormatPr defaultColWidth="12.6328125" defaultRowHeight="15.75" customHeight="1" x14ac:dyDescent="0.25"/>
  <sheetData>
    <row r="1" spans="1:6" ht="15.75" customHeight="1" x14ac:dyDescent="0.25">
      <c r="A1" s="40">
        <v>2022</v>
      </c>
      <c r="B1" s="41" t="s">
        <v>122</v>
      </c>
      <c r="C1" s="41" t="s">
        <v>123</v>
      </c>
      <c r="D1" s="41" t="s">
        <v>124</v>
      </c>
      <c r="E1" s="41" t="s">
        <v>125</v>
      </c>
      <c r="F1" s="41" t="s">
        <v>126</v>
      </c>
    </row>
    <row r="2" spans="1:6" ht="15.75" customHeight="1" x14ac:dyDescent="0.25">
      <c r="A2" s="42" t="s">
        <v>127</v>
      </c>
      <c r="B2" s="43">
        <v>30</v>
      </c>
      <c r="C2" s="43">
        <v>12</v>
      </c>
      <c r="D2" s="43">
        <v>551</v>
      </c>
      <c r="E2" s="43">
        <v>2886</v>
      </c>
      <c r="F2" s="43">
        <v>6302</v>
      </c>
    </row>
    <row r="3" spans="1:6" ht="15.75" customHeight="1" x14ac:dyDescent="0.25">
      <c r="A3" s="42" t="s">
        <v>128</v>
      </c>
      <c r="B3" s="43">
        <v>26</v>
      </c>
      <c r="C3" s="43">
        <v>11</v>
      </c>
      <c r="D3" s="43">
        <v>578</v>
      </c>
      <c r="E3" s="43">
        <v>1579</v>
      </c>
      <c r="F3" s="43">
        <v>5712</v>
      </c>
    </row>
    <row r="4" spans="1:6" ht="15.75" customHeight="1" x14ac:dyDescent="0.25">
      <c r="A4" s="42" t="s">
        <v>129</v>
      </c>
      <c r="B4" s="43">
        <v>17</v>
      </c>
      <c r="C4" s="43">
        <v>39</v>
      </c>
      <c r="D4" s="43">
        <v>950</v>
      </c>
      <c r="E4" s="43">
        <v>11442</v>
      </c>
      <c r="F4" s="43">
        <v>16872</v>
      </c>
    </row>
    <row r="5" spans="1:6" ht="15.75" customHeight="1" x14ac:dyDescent="0.25">
      <c r="A5" s="42" t="s">
        <v>130</v>
      </c>
      <c r="B5" s="43">
        <v>2</v>
      </c>
      <c r="C5" s="43">
        <v>16</v>
      </c>
      <c r="D5" s="43">
        <v>191</v>
      </c>
      <c r="E5" s="43">
        <v>8991</v>
      </c>
      <c r="F5" s="43">
        <v>1356</v>
      </c>
    </row>
    <row r="6" spans="1:6" ht="15.75" customHeight="1" x14ac:dyDescent="0.25">
      <c r="A6" s="42" t="s">
        <v>131</v>
      </c>
      <c r="B6" s="40">
        <v>0</v>
      </c>
      <c r="C6" s="43">
        <v>2</v>
      </c>
      <c r="D6" s="43">
        <v>277</v>
      </c>
      <c r="E6" s="43">
        <v>337</v>
      </c>
      <c r="F6" s="43">
        <v>364</v>
      </c>
    </row>
    <row r="7" spans="1:6" ht="15.75" customHeight="1" x14ac:dyDescent="0.25">
      <c r="A7" s="42" t="s">
        <v>132</v>
      </c>
      <c r="B7" s="43">
        <v>5</v>
      </c>
      <c r="C7" s="43">
        <v>6</v>
      </c>
      <c r="D7" s="43">
        <v>679</v>
      </c>
      <c r="E7" s="43">
        <v>1684</v>
      </c>
      <c r="F7" s="43">
        <v>3565</v>
      </c>
    </row>
    <row r="8" spans="1:6" ht="15.75" customHeight="1" x14ac:dyDescent="0.25">
      <c r="A8" s="42" t="s">
        <v>133</v>
      </c>
      <c r="B8" s="43">
        <v>5</v>
      </c>
      <c r="C8" s="43">
        <v>5</v>
      </c>
      <c r="D8" s="43">
        <v>152</v>
      </c>
      <c r="E8" s="43">
        <v>420</v>
      </c>
      <c r="F8" s="43">
        <v>1048</v>
      </c>
    </row>
    <row r="9" spans="1:6" ht="15.75" customHeight="1" x14ac:dyDescent="0.25">
      <c r="A9" s="42" t="s">
        <v>134</v>
      </c>
      <c r="B9" s="43">
        <v>2</v>
      </c>
      <c r="C9" s="43">
        <v>1</v>
      </c>
      <c r="D9" s="43">
        <v>178</v>
      </c>
      <c r="E9" s="43">
        <v>348</v>
      </c>
      <c r="F9" s="43">
        <v>544</v>
      </c>
    </row>
    <row r="10" spans="1:6" ht="15.75" customHeight="1" x14ac:dyDescent="0.25">
      <c r="A10" s="42" t="s">
        <v>135</v>
      </c>
      <c r="B10" s="43">
        <v>1</v>
      </c>
      <c r="C10" s="43">
        <v>2</v>
      </c>
      <c r="D10" s="43">
        <v>829</v>
      </c>
      <c r="E10" s="43">
        <v>1007</v>
      </c>
      <c r="F10" s="43">
        <v>1058</v>
      </c>
    </row>
    <row r="11" spans="1:6" ht="15.75" customHeight="1" x14ac:dyDescent="0.25">
      <c r="A11" s="42" t="s">
        <v>136</v>
      </c>
      <c r="B11" s="43">
        <v>1</v>
      </c>
      <c r="C11" s="40">
        <v>0</v>
      </c>
      <c r="D11" s="43">
        <v>68</v>
      </c>
      <c r="E11" s="43">
        <v>487</v>
      </c>
      <c r="F11" s="43">
        <v>406</v>
      </c>
    </row>
    <row r="12" spans="1:6" ht="15.75" customHeight="1" x14ac:dyDescent="0.25">
      <c r="A12" s="42" t="s">
        <v>137</v>
      </c>
      <c r="B12" s="40">
        <v>0</v>
      </c>
      <c r="C12" s="40">
        <v>0</v>
      </c>
      <c r="D12" s="43">
        <v>47</v>
      </c>
      <c r="E12" s="43">
        <v>189</v>
      </c>
      <c r="F12" s="43">
        <v>192</v>
      </c>
    </row>
    <row r="13" spans="1:6" ht="15.75" customHeight="1" x14ac:dyDescent="0.25">
      <c r="A13" s="42" t="s">
        <v>138</v>
      </c>
      <c r="B13" s="40">
        <v>0</v>
      </c>
      <c r="C13" s="43">
        <v>1</v>
      </c>
      <c r="D13" s="43">
        <v>4</v>
      </c>
      <c r="E13" s="43">
        <v>578</v>
      </c>
      <c r="F13" s="43">
        <v>65</v>
      </c>
    </row>
    <row r="14" spans="1:6" ht="15.75" customHeight="1" x14ac:dyDescent="0.25">
      <c r="A14" s="42" t="s">
        <v>139</v>
      </c>
      <c r="B14" s="43">
        <v>15</v>
      </c>
      <c r="C14" s="43">
        <v>22</v>
      </c>
      <c r="D14" s="43">
        <v>1312</v>
      </c>
      <c r="E14" s="43">
        <v>7631</v>
      </c>
      <c r="F14" s="43">
        <v>9299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시기</vt:lpstr>
      <vt:lpstr>5대범죄 장소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조은샘</cp:lastModifiedBy>
  <dcterms:modified xsi:type="dcterms:W3CDTF">2024-06-13T05:36:55Z</dcterms:modified>
</cp:coreProperties>
</file>